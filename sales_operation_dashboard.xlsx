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_sales" sheetId="1" r:id="rId5"/>
    <sheet state="visible" name="Clean_Data" sheetId="2" r:id="rId6"/>
    <sheet state="visible" name="Pivot_Table" sheetId="3" r:id="rId7"/>
    <sheet state="visible" name="Dashboard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<sst xmlns="http://schemas.openxmlformats.org/spreadsheetml/2006/main" count="2304" uniqueCount="641">
  <si>
    <t>order_id</t>
  </si>
  <si>
    <t>order_date</t>
  </si>
  <si>
    <t>customer_name</t>
  </si>
  <si>
    <t>country_code</t>
  </si>
  <si>
    <t>region</t>
  </si>
  <si>
    <t>customer_size</t>
  </si>
  <si>
    <t>revenue</t>
  </si>
  <si>
    <t>ORD-01001</t>
  </si>
  <si>
    <t>Alpine Ski House</t>
  </si>
  <si>
    <t>DE</t>
  </si>
  <si>
    <t>EMEA</t>
  </si>
  <si>
    <t>SMB</t>
  </si>
  <si>
    <t>ORD-01002</t>
  </si>
  <si>
    <t>not a date</t>
  </si>
  <si>
    <t>Nordwind Energie</t>
  </si>
  <si>
    <t>Mid-Market</t>
  </si>
  <si>
    <t>ORD-01003</t>
  </si>
  <si>
    <t>Tailspin Toys</t>
  </si>
  <si>
    <t>ca</t>
  </si>
  <si>
    <t>North America</t>
  </si>
  <si>
    <t>ORD-01004</t>
  </si>
  <si>
    <t xml:space="preserve">  Delhi Textiles</t>
  </si>
  <si>
    <t>In</t>
  </si>
  <si>
    <t>APAC</t>
  </si>
  <si>
    <t>ORD-01005</t>
  </si>
  <si>
    <t xml:space="preserve">  Lion City Traders</t>
  </si>
  <si>
    <t>SG</t>
  </si>
  <si>
    <t>ORD-01006</t>
  </si>
  <si>
    <t>Mumbai Fresh Foods</t>
  </si>
  <si>
    <t>in</t>
  </si>
  <si>
    <t>ORD-01007</t>
  </si>
  <si>
    <t xml:space="preserve">Proseware GmbH   </t>
  </si>
  <si>
    <t>de</t>
  </si>
  <si>
    <t>Enterprise</t>
  </si>
  <si>
    <t>ORD-01008</t>
  </si>
  <si>
    <t>Blue Yonder Airlines</t>
  </si>
  <si>
    <t>Us</t>
  </si>
  <si>
    <t>ORD-01009</t>
  </si>
  <si>
    <t>Coho Vineyard</t>
  </si>
  <si>
    <t>us</t>
  </si>
  <si>
    <t>ORD-01010</t>
  </si>
  <si>
    <t>Sydney Harbour Goods</t>
  </si>
  <si>
    <t>Au</t>
  </si>
  <si>
    <t>ORD-01011</t>
  </si>
  <si>
    <t>Fabrikam Inc</t>
  </si>
  <si>
    <t>ORD-01012</t>
  </si>
  <si>
    <t>Litware Systems</t>
  </si>
  <si>
    <t>Gb</t>
  </si>
  <si>
    <t>ORD-01013</t>
  </si>
  <si>
    <t xml:space="preserve">Wide World Importers   </t>
  </si>
  <si>
    <t>GB</t>
  </si>
  <si>
    <t>ORD-01014</t>
  </si>
  <si>
    <t>Outback Supplies</t>
  </si>
  <si>
    <t>ORD-01015</t>
  </si>
  <si>
    <t xml:space="preserve">Desert Trading LLC   </t>
  </si>
  <si>
    <t>Ae</t>
  </si>
  <si>
    <t>ORD-01016</t>
  </si>
  <si>
    <t>Delhi Textiles</t>
  </si>
  <si>
    <t>ORD-01017</t>
  </si>
  <si>
    <t>Pacific Northwest Co</t>
  </si>
  <si>
    <t>ORD-01018</t>
  </si>
  <si>
    <t>Hanseatic Imports</t>
  </si>
  <si>
    <t>De</t>
  </si>
  <si>
    <t>ORD-01019</t>
  </si>
  <si>
    <t xml:space="preserve">Delhi Textiles   </t>
  </si>
  <si>
    <t>IN</t>
  </si>
  <si>
    <t>ORD-01020</t>
  </si>
  <si>
    <t>ORD-01021</t>
  </si>
  <si>
    <t>ORD-01022</t>
  </si>
  <si>
    <t>Wide World Importers</t>
  </si>
  <si>
    <t>ORD-01023</t>
  </si>
  <si>
    <t xml:space="preserve"> Contoso Ltd  </t>
  </si>
  <si>
    <t>US</t>
  </si>
  <si>
    <t>ORD-01024</t>
  </si>
  <si>
    <t xml:space="preserve"> Wingtip Retail  </t>
  </si>
  <si>
    <t>ORD-01025</t>
  </si>
  <si>
    <t>AE</t>
  </si>
  <si>
    <t>ORD-01026</t>
  </si>
  <si>
    <t xml:space="preserve">  Mumbai Fresh Foods</t>
  </si>
  <si>
    <t>ORD-01027</t>
  </si>
  <si>
    <t>ORD-01028</t>
  </si>
  <si>
    <t>17/11/2024</t>
  </si>
  <si>
    <t xml:space="preserve">Contoso Ltd   </t>
  </si>
  <si>
    <t>ORD-01029</t>
  </si>
  <si>
    <t>21/05/2024</t>
  </si>
  <si>
    <t>ORD-01030</t>
  </si>
  <si>
    <t>ORD-01031</t>
  </si>
  <si>
    <t xml:space="preserve">Gulf Logistics   </t>
  </si>
  <si>
    <t>ae</t>
  </si>
  <si>
    <t>ORD-01032</t>
  </si>
  <si>
    <t>Emirates Retail Group</t>
  </si>
  <si>
    <t>ORD-01033</t>
  </si>
  <si>
    <t>ORD-01034</t>
  </si>
  <si>
    <t>ORD-01035</t>
  </si>
  <si>
    <t>ORD-01036</t>
  </si>
  <si>
    <t xml:space="preserve">Tata Consultancy Retail   </t>
  </si>
  <si>
    <t>ORD-01037</t>
  </si>
  <si>
    <t>Contoso Ltd</t>
  </si>
  <si>
    <t>ORD-01038</t>
  </si>
  <si>
    <t>ORD-01039</t>
  </si>
  <si>
    <t>ORD-01040</t>
  </si>
  <si>
    <t>ORD-01041</t>
  </si>
  <si>
    <t>CA</t>
  </si>
  <si>
    <t>ORD-01042</t>
  </si>
  <si>
    <t xml:space="preserve">Adventure Works   </t>
  </si>
  <si>
    <t>ORD-01043</t>
  </si>
  <si>
    <t xml:space="preserve">Great Barrier Retail   </t>
  </si>
  <si>
    <t>AU</t>
  </si>
  <si>
    <t>ORD-01044</t>
  </si>
  <si>
    <t>27/10/2024</t>
  </si>
  <si>
    <t>ORD-01045</t>
  </si>
  <si>
    <t xml:space="preserve">  Gulf Logistics</t>
  </si>
  <si>
    <t>ORD-01046</t>
  </si>
  <si>
    <t>2025-02-31</t>
  </si>
  <si>
    <t>Thames Valley Foods</t>
  </si>
  <si>
    <t>gb</t>
  </si>
  <si>
    <t>ORD-01047</t>
  </si>
  <si>
    <t xml:space="preserve">Hanseatic Imports   </t>
  </si>
  <si>
    <t>ORD-01048</t>
  </si>
  <si>
    <t>ORD-01049</t>
  </si>
  <si>
    <t xml:space="preserve">  Tailspin Toys</t>
  </si>
  <si>
    <t>ORD-01050</t>
  </si>
  <si>
    <t>ORD-01051</t>
  </si>
  <si>
    <t>ORD-01052</t>
  </si>
  <si>
    <t>ORD-01053</t>
  </si>
  <si>
    <t xml:space="preserve">  Bengaluru Softworks</t>
  </si>
  <si>
    <t>ORD-01054</t>
  </si>
  <si>
    <t>ORD-01055</t>
  </si>
  <si>
    <t>Adventure Works</t>
  </si>
  <si>
    <t>ORD-01056</t>
  </si>
  <si>
    <t>ORD-01057</t>
  </si>
  <si>
    <t>Wingtip Retail</t>
  </si>
  <si>
    <t>ORD-01058</t>
  </si>
  <si>
    <t xml:space="preserve">Mumbai Fresh Foods   </t>
  </si>
  <si>
    <t>ORD-01059</t>
  </si>
  <si>
    <t>ORD-01060</t>
  </si>
  <si>
    <t>ORD-01061</t>
  </si>
  <si>
    <t>2024-13-05</t>
  </si>
  <si>
    <t>ORD-01062</t>
  </si>
  <si>
    <t xml:space="preserve">Northwind Traders   </t>
  </si>
  <si>
    <t>ORD-01063</t>
  </si>
  <si>
    <t xml:space="preserve">  Proseware GmbH</t>
  </si>
  <si>
    <t>ORD-01064</t>
  </si>
  <si>
    <t>ORD-01065</t>
  </si>
  <si>
    <t>ORD-01066</t>
  </si>
  <si>
    <t>ORD-01067</t>
  </si>
  <si>
    <t>ORD-01068</t>
  </si>
  <si>
    <t xml:space="preserve">  Northwind Traders</t>
  </si>
  <si>
    <t>ORD-01069</t>
  </si>
  <si>
    <t>24/03/2025</t>
  </si>
  <si>
    <t>ORD-01070</t>
  </si>
  <si>
    <t>ORD-01071</t>
  </si>
  <si>
    <t>ORD-01072</t>
  </si>
  <si>
    <t>19/05/2024</t>
  </si>
  <si>
    <t>Proseware GmbH</t>
  </si>
  <si>
    <t>ORD-01073</t>
  </si>
  <si>
    <t>31/02/2024</t>
  </si>
  <si>
    <t>ORD-01074</t>
  </si>
  <si>
    <t>ORD-01075</t>
  </si>
  <si>
    <t xml:space="preserve">Coho Vineyard   </t>
  </si>
  <si>
    <t>ORD-01076</t>
  </si>
  <si>
    <t>ORD-01077</t>
  </si>
  <si>
    <t>Maple Leaf Distributors</t>
  </si>
  <si>
    <t>ORD-01078</t>
  </si>
  <si>
    <t>17/02/2025</t>
  </si>
  <si>
    <t>ORD-01079</t>
  </si>
  <si>
    <t>ORD-01080</t>
  </si>
  <si>
    <t xml:space="preserve"> Lion City Traders  </t>
  </si>
  <si>
    <t>ORD-01081</t>
  </si>
  <si>
    <t>2024/00/10</t>
  </si>
  <si>
    <t>ORD-01082</t>
  </si>
  <si>
    <t>au</t>
  </si>
  <si>
    <t>ORD-01083</t>
  </si>
  <si>
    <t>ORD-01084</t>
  </si>
  <si>
    <t>Marina Bay Retail</t>
  </si>
  <si>
    <t>ORD-01085</t>
  </si>
  <si>
    <t>Ca</t>
  </si>
  <si>
    <t>ORD-01086</t>
  </si>
  <si>
    <t>Gulf Logistics</t>
  </si>
  <si>
    <t>ORD-01087</t>
  </si>
  <si>
    <t>ORD-01088</t>
  </si>
  <si>
    <t xml:space="preserve">Fabrikam Inc   </t>
  </si>
  <si>
    <t>ORD-01089</t>
  </si>
  <si>
    <t xml:space="preserve"> Marina Bay Retail  </t>
  </si>
  <si>
    <t>Sg</t>
  </si>
  <si>
    <t>ORD-01090</t>
  </si>
  <si>
    <t>Northwind Traders</t>
  </si>
  <si>
    <t>ORD-01091</t>
  </si>
  <si>
    <t xml:space="preserve">Graphic Design Institute   </t>
  </si>
  <si>
    <t>ORD-01092</t>
  </si>
  <si>
    <t>ORD-01093</t>
  </si>
  <si>
    <t>ORD-01094</t>
  </si>
  <si>
    <t xml:space="preserve"> Sydney Harbour Goods  </t>
  </si>
  <si>
    <t>ORD-01095</t>
  </si>
  <si>
    <t>ORD-01096</t>
  </si>
  <si>
    <t>ORD-01097</t>
  </si>
  <si>
    <t>Desert Trading LLC</t>
  </si>
  <si>
    <t>ORD-01098</t>
  </si>
  <si>
    <t>28/01/2024</t>
  </si>
  <si>
    <t xml:space="preserve"> Proseware GmbH  </t>
  </si>
  <si>
    <t>ORD-01099</t>
  </si>
  <si>
    <t>ORD-01100</t>
  </si>
  <si>
    <t>sg</t>
  </si>
  <si>
    <t>ORD-01101</t>
  </si>
  <si>
    <t>ORD-01102</t>
  </si>
  <si>
    <t>Great Barrier Retail</t>
  </si>
  <si>
    <t>ORD-01103</t>
  </si>
  <si>
    <t>ORD-01104</t>
  </si>
  <si>
    <t>ORD-01105</t>
  </si>
  <si>
    <t>15/02/2025</t>
  </si>
  <si>
    <t xml:space="preserve">Bengaluru Softworks   </t>
  </si>
  <si>
    <t>ORD-01106</t>
  </si>
  <si>
    <t>13/11/2024</t>
  </si>
  <si>
    <t>ORD-01107</t>
  </si>
  <si>
    <t>ORD-01108</t>
  </si>
  <si>
    <t>ORD-01109</t>
  </si>
  <si>
    <t xml:space="preserve">Lion City Traders   </t>
  </si>
  <si>
    <t>ORD-01110</t>
  </si>
  <si>
    <t>ORD-01111</t>
  </si>
  <si>
    <t xml:space="preserve">Thames Valley Foods   </t>
  </si>
  <si>
    <t>ORD-01112</t>
  </si>
  <si>
    <t>30/12/2024</t>
  </si>
  <si>
    <t>ORD-01113</t>
  </si>
  <si>
    <t xml:space="preserve">Nordwind Energie   </t>
  </si>
  <si>
    <t>ORD-01114</t>
  </si>
  <si>
    <t>ORD-01115</t>
  </si>
  <si>
    <t>ORD-01116</t>
  </si>
  <si>
    <t>ORD-01117</t>
  </si>
  <si>
    <t xml:space="preserve">Emirates Retail Group   </t>
  </si>
  <si>
    <t>ORD-01118</t>
  </si>
  <si>
    <t>ORD-01119</t>
  </si>
  <si>
    <t>ORD-01120</t>
  </si>
  <si>
    <t>Lion City Traders</t>
  </si>
  <si>
    <t>ORD-01121</t>
  </si>
  <si>
    <t>29/08/2024</t>
  </si>
  <si>
    <t>ORD-01122</t>
  </si>
  <si>
    <t xml:space="preserve"> Bengaluru Softworks  </t>
  </si>
  <si>
    <t>ORD-01123</t>
  </si>
  <si>
    <t>ORD-01124</t>
  </si>
  <si>
    <t>ORD-01125</t>
  </si>
  <si>
    <t>ORD-01126</t>
  </si>
  <si>
    <t>ORD-01127</t>
  </si>
  <si>
    <t xml:space="preserve"> Desert Trading LLC  </t>
  </si>
  <si>
    <t>ORD-01128</t>
  </si>
  <si>
    <t>ORD-01129</t>
  </si>
  <si>
    <t>ORD-01130</t>
  </si>
  <si>
    <t>ORD-01131</t>
  </si>
  <si>
    <t xml:space="preserve"> Tata Consultancy Retail  </t>
  </si>
  <si>
    <t>ORD-01132</t>
  </si>
  <si>
    <t>18/12/2024</t>
  </si>
  <si>
    <t xml:space="preserve">Maple Leaf Distributors   </t>
  </si>
  <si>
    <t>ORD-01133</t>
  </si>
  <si>
    <t>ORD-01134</t>
  </si>
  <si>
    <t xml:space="preserve">Wingtip Retail   </t>
  </si>
  <si>
    <t>ORD-01135</t>
  </si>
  <si>
    <t>ORD-01136</t>
  </si>
  <si>
    <t>ORD-01137</t>
  </si>
  <si>
    <t>ORD-01138</t>
  </si>
  <si>
    <t>ORD-01139</t>
  </si>
  <si>
    <t>ORD-01140</t>
  </si>
  <si>
    <t xml:space="preserve">  Graphic Design Institute</t>
  </si>
  <si>
    <t>ORD-01141</t>
  </si>
  <si>
    <t>ORD-01142</t>
  </si>
  <si>
    <t>ORD-01143</t>
  </si>
  <si>
    <t>ORD-01144</t>
  </si>
  <si>
    <t>ORD-01145</t>
  </si>
  <si>
    <t>26/01/2025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</si>
  <si>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</si>
  <si>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</si>
  <si>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</si>
  <si>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</si>
  <si>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</si>
  <si>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</si>
  <si>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</si>
  <si>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</si>
  <si>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</si>
  <si>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Graphic Design Institute</t>
  </si>
  <si>
    <t>ORD-01155</t>
  </si>
  <si>
    <t>ORD-01156</t>
  </si>
  <si>
    <t>Bengaluru Softworks</t>
  </si>
  <si>
    <t>ORD-01157</t>
  </si>
  <si>
    <t xml:space="preserve">  Nordwind Energie</t>
  </si>
  <si>
    <t>ORD-01158</t>
  </si>
  <si>
    <t xml:space="preserve">Outback Supplies   </t>
  </si>
  <si>
    <t>ORD-01159</t>
  </si>
  <si>
    <t>ORD-01160</t>
  </si>
  <si>
    <t xml:space="preserve">Marina Bay Retail   </t>
  </si>
  <si>
    <t>ORD-01161</t>
  </si>
  <si>
    <t>ORD-01162</t>
  </si>
  <si>
    <t>ORD-01163</t>
  </si>
  <si>
    <t>25/09/2024</t>
  </si>
  <si>
    <t>ORD-01164</t>
  </si>
  <si>
    <t>ORD-01165</t>
  </si>
  <si>
    <t xml:space="preserve">  Emirates Retail Group</t>
  </si>
  <si>
    <t>ORD-01166</t>
  </si>
  <si>
    <t>28/03/2024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</si>
  <si>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</si>
  <si>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</si>
  <si>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</si>
  <si>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</si>
  <si>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</si>
  <si>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</si>
  <si>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</si>
  <si>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</si>
  <si>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</si>
  <si>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</si>
  <si>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</si>
  <si>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</si>
  <si>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</si>
  <si>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</si>
  <si>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</si>
  <si>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</si>
  <si>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</si>
  <si>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</si>
  <si>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</si>
  <si>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</si>
  <si>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Tata Consultancy Retail</t>
  </si>
  <si>
    <t>ORD-01187</t>
  </si>
  <si>
    <t>ORD-01188</t>
  </si>
  <si>
    <t>ORD-01189</t>
  </si>
  <si>
    <t xml:space="preserve">  Desert Trading LLC</t>
  </si>
  <si>
    <t>ORD-01190</t>
  </si>
  <si>
    <t>ORD-01191</t>
  </si>
  <si>
    <t xml:space="preserve">  Maple Leaf Distributors</t>
  </si>
  <si>
    <t>ORD-01192</t>
  </si>
  <si>
    <t>ORD-01193</t>
  </si>
  <si>
    <t>ORD-01194</t>
  </si>
  <si>
    <t>ORD-01195</t>
  </si>
  <si>
    <t>ORD-01196</t>
  </si>
  <si>
    <t>ORD-01197</t>
  </si>
  <si>
    <t>ORD-01198</t>
  </si>
  <si>
    <t xml:space="preserve">Alpine Ski House   </t>
  </si>
  <si>
    <t>ORD-01199</t>
  </si>
  <si>
    <t>ORD-01200</t>
  </si>
  <si>
    <t>ORD-01201</t>
  </si>
  <si>
    <t>ORD-01202</t>
  </si>
  <si>
    <t xml:space="preserve">Tailspin Toys   </t>
  </si>
  <si>
    <t>ORD-01203</t>
  </si>
  <si>
    <t>ORD-01204</t>
  </si>
  <si>
    <t>ORD-01205</t>
  </si>
  <si>
    <t>ORD-01206</t>
  </si>
  <si>
    <t>ORD-01207</t>
  </si>
  <si>
    <t>ORD-01208</t>
  </si>
  <si>
    <t>18/01/2025</t>
  </si>
  <si>
    <t>ORD-01209</t>
  </si>
  <si>
    <t xml:space="preserve">Pacific Northwest Co   </t>
  </si>
  <si>
    <t>ORD-01210</t>
  </si>
  <si>
    <t>ORD-01211</t>
  </si>
  <si>
    <t xml:space="preserve"> Hanseatic Imports  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</si>
  <si>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</si>
  <si>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</si>
  <si>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</si>
  <si>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</si>
  <si>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</si>
  <si>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</si>
  <si>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</si>
  <si>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</si>
  <si>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</si>
  <si>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</si>
  <si>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</si>
  <si>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</si>
  <si>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 xml:space="preserve"> Outback Supplies  </t>
  </si>
  <si>
    <t>ORD-01224</t>
  </si>
  <si>
    <t>ORD-01225</t>
  </si>
  <si>
    <t>ORD-01226</t>
  </si>
  <si>
    <t>ORD-01227</t>
  </si>
  <si>
    <t>ORD-01228</t>
  </si>
  <si>
    <t>ORD-01229</t>
  </si>
  <si>
    <t xml:space="preserve"> Blue Yonder Airlines  </t>
  </si>
  <si>
    <t>ORD-01230</t>
  </si>
  <si>
    <t xml:space="preserve"> Wide World Importers  </t>
  </si>
  <si>
    <t>ORD-01231</t>
  </si>
  <si>
    <t>ORD-01232</t>
  </si>
  <si>
    <t xml:space="preserve">  Outback Supplies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</si>
  <si>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</si>
  <si>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</si>
  <si>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</si>
  <si>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</si>
  <si>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</si>
  <si>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</si>
  <si>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</si>
  <si>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</si>
  <si>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</si>
  <si>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</si>
  <si>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</si>
  <si>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18/01/2024</t>
  </si>
  <si>
    <t xml:space="preserve">  Hanseatic Imports</t>
  </si>
  <si>
    <t>ORD-01244</t>
  </si>
  <si>
    <t xml:space="preserve">  Wingtip Retail</t>
  </si>
  <si>
    <t>ORD-01245</t>
  </si>
  <si>
    <t xml:space="preserve">  Contoso Ltd</t>
  </si>
  <si>
    <t>ORD-01246</t>
  </si>
  <si>
    <t xml:space="preserve"> Litware Systems  </t>
  </si>
  <si>
    <t>ORD-01247</t>
  </si>
  <si>
    <t>ORD-01248</t>
  </si>
  <si>
    <t>ORD-01249</t>
  </si>
  <si>
    <t>ORD-01250</t>
  </si>
  <si>
    <t>17/06/2025</t>
  </si>
  <si>
    <t>ORD-01251</t>
  </si>
  <si>
    <t>ORD-01252</t>
  </si>
  <si>
    <t xml:space="preserve">Blue Yonder Airlines   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</si>
  <si>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</si>
  <si>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</si>
  <si>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</si>
  <si>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</si>
  <si>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</si>
  <si>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</si>
  <si>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</si>
  <si>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</si>
  <si>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</si>
  <si>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</si>
  <si>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</si>
  <si>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</si>
  <si>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</si>
  <si>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</si>
  <si>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 xml:space="preserve">  Wide World Importers</t>
  </si>
  <si>
    <t>ORD-01267</t>
  </si>
  <si>
    <t xml:space="preserve"> Thames Valley Foods  </t>
  </si>
  <si>
    <t>ORD-01268</t>
  </si>
  <si>
    <t>ORD-01269</t>
  </si>
  <si>
    <t>25/03/2025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</si>
  <si>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</si>
  <si>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</si>
  <si>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</si>
  <si>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</si>
  <si>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</si>
  <si>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</si>
  <si>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</si>
  <si>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</si>
  <si>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</si>
  <si>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</si>
  <si>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</si>
  <si>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</si>
  <si>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 xml:space="preserve"> Coho Vineyard  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</si>
  <si>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</si>
  <si>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</si>
  <si>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</si>
  <si>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</si>
  <si>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</si>
  <si>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</si>
  <si>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</si>
  <si>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</si>
  <si>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</si>
  <si>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</si>
  <si>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</si>
  <si>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</si>
  <si>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</si>
  <si>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</si>
  <si>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</si>
  <si>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20/12/2024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</si>
  <si>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</si>
  <si>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</si>
  <si>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</si>
  <si>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</si>
  <si>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</si>
  <si>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</si>
  <si>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</si>
  <si>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</si>
  <si>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</si>
  <si>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</si>
  <si>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</si>
  <si>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 xml:space="preserve">Litware Systems   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</si>
  <si>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</si>
  <si>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</si>
  <si>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</si>
  <si>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</si>
  <si>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</si>
  <si>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</si>
  <si>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</si>
  <si>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</si>
  <si>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</si>
  <si>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 xml:space="preserve"> Tailspin Toys  </t>
  </si>
  <si>
    <t>ORD-01317</t>
  </si>
  <si>
    <t>ORD-01318</t>
  </si>
  <si>
    <t>ORD-01319</t>
  </si>
  <si>
    <t>ORD-01320</t>
  </si>
  <si>
    <t>25/11/2024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</si>
  <si>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</si>
  <si>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</si>
  <si>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</si>
  <si>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</si>
  <si>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</si>
  <si>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</si>
  <si>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</si>
  <si>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</si>
  <si>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</si>
  <si>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</si>
  <si>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</si>
  <si>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</si>
  <si>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</si>
  <si>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 xml:space="preserve">  Tata Consultancy Retail</t>
  </si>
  <si>
    <t>ORD-01334</t>
  </si>
  <si>
    <t xml:space="preserve"> Alpine Ski House  </t>
  </si>
  <si>
    <t>ORD-01335</t>
  </si>
  <si>
    <t>ORD-01336</t>
  </si>
  <si>
    <t>ORD-01337</t>
  </si>
  <si>
    <t xml:space="preserve">  Alpine Ski House</t>
  </si>
  <si>
    <t>ORD-01338</t>
  </si>
  <si>
    <t>28/04/2025</t>
  </si>
  <si>
    <t>ORD-01339</t>
  </si>
  <si>
    <t>23/03/2024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</si>
  <si>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</si>
  <si>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</si>
  <si>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</si>
  <si>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</si>
  <si>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</si>
  <si>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</si>
  <si>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</si>
  <si>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</si>
  <si>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</si>
  <si>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 xml:space="preserve">  Sydney Harbour Goods</t>
  </si>
  <si>
    <t>ORD-01349</t>
  </si>
  <si>
    <t>ORD-01350</t>
  </si>
  <si>
    <t>30/10/2024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</si>
  <si>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</si>
  <si>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</si>
  <si>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</si>
  <si>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</si>
  <si>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</si>
  <si>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</si>
  <si>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</si>
  <si>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</si>
  <si>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</si>
  <si>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</si>
  <si>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</si>
  <si>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</si>
  <si>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</si>
  <si>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</si>
  <si>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</si>
  <si>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</si>
  <si>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</si>
  <si>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</si>
  <si>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</si>
  <si>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</si>
  <si>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 xml:space="preserve">  Thames Valley Foods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</si>
  <si>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</si>
  <si>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</si>
  <si>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</si>
  <si>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</si>
  <si>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</si>
  <si>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</si>
  <si>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</si>
  <si>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</si>
  <si>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</si>
  <si>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</si>
  <si>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</si>
  <si>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</si>
  <si>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</si>
  <si>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</si>
  <si>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</si>
  <si>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</si>
  <si>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</si>
  <si>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</si>
  <si>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</si>
  <si>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</si>
  <si>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</si>
  <si>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</si>
  <si>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</si>
  <si>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</si>
  <si>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</si>
  <si>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 xml:space="preserve">  Marina Bay Retail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</si>
  <si>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</si>
  <si>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</si>
  <si>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</si>
  <si>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</si>
  <si>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</si>
  <si>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</si>
  <si>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</si>
  <si>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</si>
  <si>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</si>
  <si>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</si>
  <si>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 xml:space="preserve">  Great Barrier Retail</t>
  </si>
  <si>
    <t>ORD-01406</t>
  </si>
  <si>
    <t xml:space="preserve"> Great Barrier Retail  </t>
  </si>
  <si>
    <t>ORD-01407</t>
  </si>
  <si>
    <t>ORD-01408</t>
  </si>
  <si>
    <t>ORD-01409</t>
  </si>
  <si>
    <t xml:space="preserve"> Emirates Retail Group  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</si>
  <si>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</si>
  <si>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</si>
  <si>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</si>
  <si>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</si>
  <si>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</si>
  <si>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</si>
  <si>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</si>
  <si>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</si>
  <si>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</si>
  <si>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</si>
  <si>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</si>
  <si>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</si>
  <si>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</si>
  <si>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</si>
  <si>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</si>
  <si>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</si>
  <si>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</si>
  <si>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15/06/2024</t>
  </si>
  <si>
    <t>ORD-01427</t>
  </si>
  <si>
    <t>ORD-01428</t>
  </si>
  <si>
    <t>ORD-01429</t>
  </si>
  <si>
    <t>16/08/2024</t>
  </si>
  <si>
    <t>ORD-01430</t>
  </si>
  <si>
    <t xml:space="preserve"> Delhi Textiles  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</si>
  <si>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</si>
  <si>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</si>
  <si>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</si>
  <si>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</si>
  <si>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</si>
  <si>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</si>
  <si>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</si>
  <si>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</si>
  <si>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</si>
  <si>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</si>
  <si>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 xml:space="preserve">Order ID </t>
  </si>
  <si>
    <t>Order Date</t>
  </si>
  <si>
    <t xml:space="preserve">Customer Name </t>
  </si>
  <si>
    <t xml:space="preserve">Country Code </t>
  </si>
  <si>
    <t>Region</t>
  </si>
  <si>
    <t>Customer Size</t>
  </si>
  <si>
    <t>Revenue</t>
  </si>
  <si>
    <t xml:space="preserve">Revenue </t>
  </si>
  <si>
    <t>Grand Total</t>
  </si>
  <si>
    <t>Order Date - Month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</si>
  <si>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</si>
  <si>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</si>
  <si>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</si>
  <si>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</si>
  <si>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</si>
  <si>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</si>
  <si>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</si>
  <si>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</si>
  <si>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</si>
  <si>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</si>
  <si>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</si>
  <si>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</si>
  <si>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</si>
  <si>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associated with invalid dates: $342,174.67 across 22 records.</t>
  </si>
  <si>
    <t>Sales Operation Dashboard</t>
  </si>
  <si>
    <t>Total Revenue</t>
  </si>
  <si>
    <t>Total Orders</t>
  </si>
  <si>
    <t>Customers</t>
  </si>
  <si>
    <t>Missing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</si>
</sst>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[$$]#,##0.00"/>
    <numFmt numFmtId="166" formatCode="yyyy-mm-dd"/>
    <numFmt numFmtId="167" formatCode="mm/dd/yyyy"/>
    <numFmt numFmtId="168" formatCode="d-mmmm-yyyy"/>
    <numFmt numFmtId="169" formatCode="dd-mmm-yyyy"/>
    <numFmt numFmtId="170" formatCode="d-mmm-yyyy"/>
    <numFmt numFmtId="171" formatCode="[$Rs-420]#,##0.00"/>
    <numFmt numFmtId="172" formatCode="m/d/yyyy h:mm:ss"/>
    <numFmt numFmtId="173" formatCode="[$$]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rgb="FF0000FF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readingOrder="0"/>
    </xf>
    <xf borderId="1" fillId="0" fontId="3" numFmtId="173" xfId="0" applyBorder="1" applyFont="1" applyNumberFormat="1"/>
    <xf borderId="1" fillId="3" fontId="3" numFmtId="0" xfId="0" applyAlignment="1" applyBorder="1" applyFill="1" applyFont="1">
      <alignment readingOrder="0"/>
    </xf>
    <xf borderId="1" fillId="0" fontId="3" numFmtId="0" xfId="0" applyBorder="1" applyFont="1"/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Pivot_Table!$B$1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Pivot_Table!$A$2:$A$4</c:f>
            </c:strRef>
          </c:cat>
          <c:val>
            <c:numRef>
              <c:f>Pivot_Table!$B$2:$B$4</c:f>
              <c:numCache/>
            </c:numRef>
          </c:val>
        </c:ser>
        <c:axId val="111727546"/>
        <c:axId val="787085277"/>
      </c:barChart>
      <c:catAx>
        <c:axId val="1117275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085277"/>
      </c:catAx>
      <c:valAx>
        <c:axId val="7870852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275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Customer Size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Pivot_Table!$E$1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Pivot_Table!$D$2:$D$4</c:f>
            </c:strRef>
          </c:cat>
          <c:val>
            <c:numRef>
              <c:f>Pivot_Table!$E$2:$E$4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Pivot_Table!$B$8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Pivot_Table!$A$9:$A$20</c:f>
            </c:strRef>
          </c:cat>
          <c:val>
            <c:numRef>
              <c:f>Pivot_Table!$B$9:$B$20</c:f>
              <c:numCache/>
            </c:numRef>
          </c:val>
          <c:smooth val="0"/>
        </c:ser>
        <c:axId val="861290451"/>
        <c:axId val="894770609"/>
      </c:lineChart>
      <c:catAx>
        <c:axId val="861290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770609"/>
      </c:catAx>
      <c:valAx>
        <c:axId val="894770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290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Pivot_Table!$E$8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Pivot_Table!$D$9:$D$16</c:f>
            </c:strRef>
          </c:cat>
          <c:val>
            <c:numRef>
              <c:f>Pivot_Table!$E$9:$E$16</c:f>
              <c:numCache/>
            </c:numRef>
          </c:val>
        </c:ser>
        <c:axId val="866023411"/>
        <c:axId val="360494033"/>
      </c:barChart>
      <c:catAx>
        <c:axId val="866023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494033"/>
      </c:catAx>
      <c:valAx>
        <c:axId val="360494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023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</xdr:row>
      <xdr:rowOff>190500</xdr:rowOff>
    </xdr:from>
    <xdr:ext cx="5162550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104775</xdr:colOff>
      <xdr:row>2</xdr:row>
      <xdr:rowOff>190500</xdr:rowOff>
    </xdr:from>
    <xdr:ext cx="5124450" cy="3190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104775</xdr:colOff>
      <xdr:row>16</xdr:row>
      <xdr:rowOff>19050</xdr:rowOff>
    </xdr:from>
    <xdr:ext cx="5162550" cy="3190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104775</xdr:colOff>
      <xdr:row>16</xdr:row>
      <xdr:rowOff>19050</xdr:rowOff>
    </xdr:from>
    <xdr:ext cx="5124450" cy="3190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41" sheet="Clean_Data"/>
  </cacheSource>
  <cacheFields>
    <cacheField name="Order ID " numFmtId="0">
      <sharedItems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</sharedItems>
    </cacheField>
    <cacheField name="Order Date">
      <sharedItems containsDate="1" containsMixedTypes="1">
        <d v="2024-10-07T00:00:00Z"/>
        <s v="Invalid Date"/>
        <d v="2024-08-15T00:00:00Z"/>
        <d v="2024-01-30T00:00:00Z"/>
        <d v="2025-04-24T00:00:00Z"/>
        <d v="2025-01-17T00:00:00Z"/>
        <d v="2024-01-22T00:00:00Z"/>
        <d v="2024-09-28T00:00:00Z"/>
        <d v="2024-05-10T00:00:00Z"/>
        <d v="2025-04-04T00:00:00Z"/>
        <d v="2024-06-20T00:00:00Z"/>
        <d v="2024-11-06T00:00:00Z"/>
        <d v="2024-07-10T00:00:00Z"/>
        <d v="2025-02-14T00:00:00Z"/>
        <d v="2024-08-23T00:00:00Z"/>
        <d v="2025-03-01T00:00:00Z"/>
        <d v="2024-09-14T00:00:00Z"/>
        <d v="2025-04-05T00:00:00Z"/>
        <d v="2025-05-01T00:00:00Z"/>
        <d v="2024-07-05T00:00:00Z"/>
        <d v="2025-01-11T00:00:00Z"/>
        <d v="2025-05-06T00:00:00Z"/>
        <d v="2024-05-06T00:00:00Z"/>
        <d v="2024-09-22T00:00:00Z"/>
        <d v="2025-06-14T00:00:00Z"/>
        <d v="2025-01-14T00:00:00Z"/>
        <d v="2025-06-29T00:00:00Z"/>
        <d v="2024-11-17T00:00:00Z"/>
        <d v="2024-05-21T00:00:00Z"/>
        <d v="2025-03-22T00:00:00Z"/>
        <d v="2024-12-10T00:00:00Z"/>
        <d v="2025-06-09T00:00:00Z"/>
        <d v="2024-09-12T00:00:00Z"/>
        <d v="2024-09-13T00:00:00Z"/>
        <d v="2024-08-22T00:00:00Z"/>
        <d v="2025-02-22T00:00:00Z"/>
        <d v="2025-06-21T00:00:00Z"/>
        <d v="2025-03-09T00:00:00Z"/>
        <d v="2024-12-07T00:00:00Z"/>
        <d v="2025-03-28T00:00:00Z"/>
        <d v="2025-01-10T00:00:00Z"/>
        <d v="2024-04-12T00:00:00Z"/>
        <d v="2024-10-27T00:00:00Z"/>
        <d v="2024-08-21T00:00:00Z"/>
        <d v="2025-01-16T00:00:00Z"/>
        <d v="2024-11-09T00:00:00Z"/>
        <d v="2025-05-26T00:00:00Z"/>
        <d v="2024-05-13T00:00:00Z"/>
        <d v="2025-03-03T00:00:00Z"/>
        <d v="2024-08-31T00:00:00Z"/>
        <d v="2024-06-03T00:00:00Z"/>
        <d v="2024-12-09T00:00:00Z"/>
        <d v="2024-08-06T00:00:00Z"/>
        <d v="2025-04-08T00:00:00Z"/>
        <d v="2024-07-25T00:00:00Z"/>
        <d v="2025-03-24T00:00:00Z"/>
        <d v="2024-07-03T00:00:00Z"/>
        <d v="2024-10-11T00:00:00Z"/>
        <d v="2025-04-13T00:00:00Z"/>
        <d v="2024-06-09T00:00:00Z"/>
        <d v="2024-09-21T00:00:00Z"/>
        <d v="2024-03-01T00:00:00Z"/>
        <d v="2024-06-13T00:00:00Z"/>
        <d v="2025-05-08T00:00:00Z"/>
        <d v="2024-05-19T00:00:00Z"/>
        <d v="2024-03-29T00:00:00Z"/>
        <d v="2024-08-16T00:00:00Z"/>
        <d v="2025-06-18T00:00:00Z"/>
        <d v="2024-02-18T00:00:00Z"/>
        <d v="2025-02-17T00:00:00Z"/>
        <d v="2025-04-17T00:00:00Z"/>
        <d v="2025-02-12T00:00:00Z"/>
        <d v="2024-06-15T00:00:00Z"/>
        <d v="2025-01-28T00:00:00Z"/>
        <d v="2025-02-05T00:00:00Z"/>
        <d v="2024-03-03T00:00:00Z"/>
        <d v="2025-02-26T00:00:00Z"/>
        <d v="2024-06-25T00:00:00Z"/>
        <d v="2024-04-04T00:00:00Z"/>
        <d v="2024-11-08T00:00:00Z"/>
        <d v="2025-03-26T00:00:00Z"/>
        <d v="2024-11-20T00:00:00Z"/>
        <d v="2024-03-30T00:00:00Z"/>
        <d v="2024-11-15T00:00:00Z"/>
        <d v="2024-10-30T00:00:00Z"/>
        <d v="2024-01-13T00:00:00Z"/>
        <d v="2024-01-28T00:00:00Z"/>
        <d v="2024-11-10T00:00:00Z"/>
        <d v="2024-01-10T00:00:00Z"/>
        <d v="2024-07-21T00:00:00Z"/>
        <d v="2025-03-04T00:00:00Z"/>
        <d v="2025-06-24T00:00:00Z"/>
        <d v="2024-05-09T00:00:00Z"/>
        <d v="2025-02-15T00:00:00Z"/>
        <d v="2024-11-13T00:00:00Z"/>
        <d v="2024-08-30T00:00:00Z"/>
        <d v="2024-08-25T00:00:00Z"/>
        <d v="2024-08-27T00:00:00Z"/>
        <d v="2024-05-16T00:00:00Z"/>
        <d v="2024-12-30T00:00:00Z"/>
        <d v="2024-08-24T00:00:00Z"/>
        <d v="2024-07-14T00:00:00Z"/>
        <d v="2024-12-03T00:00:00Z"/>
        <d v="2024-12-04T00:00:00Z"/>
        <d v="2024-12-11T00:00:00Z"/>
        <d v="2025-01-30T00:00:00Z"/>
        <d v="2024-08-29T00:00:00Z"/>
        <d v="2024-02-05T00:00:00Z"/>
        <d v="2024-03-02T00:00:00Z"/>
        <d v="2024-04-28T00:00:00Z"/>
        <d v="2024-02-24T00:00:00Z"/>
        <d v="2024-12-15T00:00:00Z"/>
        <d v="2025-02-13T00:00:00Z"/>
        <d v="2025-04-20T00:00:00Z"/>
        <d v="2024-03-22T00:00:00Z"/>
        <d v="2024-12-18T00:00:00Z"/>
        <d v="2024-02-07T00:00:00Z"/>
        <d v="2024-08-26T00:00:00Z"/>
        <d v="2024-03-14T00:00:00Z"/>
        <d v="2024-06-21T00:00:00Z"/>
        <d v="2024-11-04T00:00:00Z"/>
        <d v="2024-05-25T00:00:00Z"/>
        <d v="2025-03-21T00:00:00Z"/>
        <d v="2024-05-28T00:00:00Z"/>
        <d v="2025-01-26T00:00:00Z"/>
        <d v="2024-11-05T00:00:00Z"/>
        <d v="2025-05-22T00:00:00Z"/>
        <d v="2025-05-24T00:00:00Z"/>
        <d v="2024-06-23T00:00:00Z"/>
        <d v="2024-10-16T00:00:00Z"/>
        <d v="2025-02-21T00:00:00Z"/>
        <d v="2024-07-15T00:00:00Z"/>
        <d v="2024-12-05T00:00:00Z"/>
        <d v="2024-02-28T00:00:00Z"/>
        <d v="2024-03-17T00:00:00Z"/>
        <d v="2024-02-19T00:00:00Z"/>
        <d v="2025-01-23T00:00:00Z"/>
        <d v="2024-01-12T00:00:00Z"/>
        <d v="2024-01-29T00:00:00Z"/>
        <d v="2024-09-25T00:00:00Z"/>
        <d v="2025-01-05T00:00:00Z"/>
        <d v="2024-03-28T00:00:00Z"/>
        <d v="2024-12-26T00:00:00Z"/>
        <d v="2024-10-09T00:00:00Z"/>
        <d v="2024-02-10T00:00:00Z"/>
        <d v="2025-06-23T00:00:00Z"/>
        <d v="2024-03-06T00:00:00Z"/>
        <d v="2025-05-27T00:00:00Z"/>
        <d v="2025-03-10T00:00:00Z"/>
        <d v="2024-04-13T00:00:00Z"/>
        <d v="2024-04-03T00:00:00Z"/>
        <d v="2024-04-29T00:00:00Z"/>
        <d v="2024-02-29T00:00:00Z"/>
        <d v="2024-02-02T00:00:00Z"/>
        <d v="2024-11-27T00:00:00Z"/>
        <d v="2024-05-14T00:00:00Z"/>
        <d v="2024-08-13T00:00:00Z"/>
        <d v="2024-01-18T00:00:00Z"/>
        <d v="2024-06-29T00:00:00Z"/>
        <d v="2024-08-08T00:00:00Z"/>
        <d v="2024-07-26T00:00:00Z"/>
        <d v="2024-04-25T00:00:00Z"/>
        <d v="2025-05-02T00:00:00Z"/>
        <d v="2024-10-26T00:00:00Z"/>
        <d v="2024-09-23T00:00:00Z"/>
        <d v="2025-05-20T00:00:00Z"/>
        <d v="2025-05-03T00:00:00Z"/>
        <d v="2024-08-18T00:00:00Z"/>
        <d v="2024-05-15T00:00:00Z"/>
        <d v="2024-02-20T00:00:00Z"/>
        <d v="2024-02-25T00:00:00Z"/>
        <d v="2025-04-06T00:00:00Z"/>
        <d v="2025-01-18T00:00:00Z"/>
        <d v="2024-11-01T00:00:00Z"/>
        <d v="2024-09-11T00:00:00Z"/>
        <d v="2024-11-18T00:00:00Z"/>
        <d v="2024-07-07T00:00:00Z"/>
        <d v="2024-09-10T00:00:00Z"/>
        <d v="2024-01-14T00:00:00Z"/>
        <d v="2024-02-01T00:00:00Z"/>
        <d v="2025-04-30T00:00:00Z"/>
        <d v="2025-01-27T00:00:00Z"/>
        <d v="2024-07-09T00:00:00Z"/>
        <d v="2025-06-20T00:00:00Z"/>
        <d v="2024-01-17T00:00:00Z"/>
        <d v="2024-11-23T00:00:00Z"/>
        <d v="2024-02-15T00:00:00Z"/>
        <d v="2024-05-29T00:00:00Z"/>
        <d v="2024-09-17T00:00:00Z"/>
        <d v="2025-04-21T00:00:00Z"/>
        <d v="2024-03-31T00:00:00Z"/>
        <d v="2024-10-05T00:00:00Z"/>
        <d v="2025-06-08T00:00:00Z"/>
        <d v="2024-06-18T00:00:00Z"/>
        <d v="2024-11-25T00:00:00Z"/>
        <d v="2024-12-28T00:00:00Z"/>
        <d v="2025-02-06T00:00:00Z"/>
        <d v="2025-01-06T00:00:00Z"/>
        <d v="2024-01-11T00:00:00Z"/>
        <d v="2025-06-07T00:00:00Z"/>
        <d v="2025-04-07T00:00:00Z"/>
        <d v="2024-02-09T00:00:00Z"/>
        <d v="2025-06-17T00:00:00Z"/>
        <d v="2025-05-10T00:00:00Z"/>
        <d v="2025-03-13T00:00:00Z"/>
        <d v="2024-02-03T00:00:00Z"/>
        <d v="2024-04-11T00:00:00Z"/>
        <d v="2024-08-03T00:00:00Z"/>
        <d v="2024-03-10T00:00:00Z"/>
        <d v="2025-06-22T00:00:00Z"/>
        <d v="2024-01-19T00:00:00Z"/>
        <d v="2025-03-25T00:00:00Z"/>
        <d v="2024-04-26T00:00:00Z"/>
        <d v="2024-10-25T00:00:00Z"/>
        <d v="2024-07-29T00:00:00Z"/>
        <d v="2024-12-17T00:00:00Z"/>
        <d v="2024-04-07T00:00:00Z"/>
        <d v="2025-06-26T00:00:00Z"/>
        <d v="2024-07-17T00:00:00Z"/>
        <d v="2024-10-14T00:00:00Z"/>
        <d v="2024-07-11T00:00:00Z"/>
        <d v="2024-02-26T00:00:00Z"/>
        <d v="2024-10-20T00:00:00Z"/>
        <d v="2024-10-24T00:00:00Z"/>
        <d v="2024-12-21T00:00:00Z"/>
        <d v="2024-12-20T00:00:00Z"/>
        <d v="2025-02-09T00:00:00Z"/>
        <d v="2025-02-23T00:00:00Z"/>
        <d v="2024-06-08T00:00:00Z"/>
        <d v="2024-04-18T00:00:00Z"/>
        <d v="2025-05-13T00:00:00Z"/>
        <d v="2025-05-05T00:00:00Z"/>
        <d v="2024-01-23T00:00:00Z"/>
        <d v="2025-02-27T00:00:00Z"/>
        <d v="2024-08-28T00:00:00Z"/>
        <d v="2024-11-30T00:00:00Z"/>
        <d v="2025-03-16T00:00:00Z"/>
        <d v="2024-09-04T00:00:00Z"/>
        <d v="2025-02-02T00:00:00Z"/>
        <d v="2024-12-24T00:00:00Z"/>
        <d v="2024-08-14T00:00:00Z"/>
        <d v="2025-03-23T00:00:00Z"/>
        <d v="2024-10-02T00:00:00Z"/>
        <d v="2024-11-21T00:00:00Z"/>
        <d v="2024-06-30T00:00:00Z"/>
        <d v="2024-01-07T00:00:00Z"/>
        <d v="2024-01-21T00:00:00Z"/>
        <d v="2025-02-08T00:00:00Z"/>
        <d v="2025-01-13T00:00:00Z"/>
        <d v="2024-03-24T00:00:00Z"/>
        <d v="2024-04-02T00:00:00Z"/>
        <d v="2025-04-18T00:00:00Z"/>
        <d v="2025-04-28T00:00:00Z"/>
        <d v="2024-03-23T00:00:00Z"/>
        <d v="2024-06-28T00:00:00Z"/>
        <d v="2025-01-12T00:00:00Z"/>
        <d v="2024-11-29T00:00:00Z"/>
        <d v="2025-01-01T00:00:00Z"/>
        <d v="2025-05-21T00:00:00Z"/>
        <d v="2024-01-03T00:00:00Z"/>
        <d v="2024-04-15T00:00:00Z"/>
        <d v="2024-03-09T00:00:00Z"/>
        <d v="2024-01-05T00:00:00Z"/>
        <d v="2025-02-28T00:00:00Z"/>
        <d v="2024-10-29T00:00:00Z"/>
        <d v="2024-05-23T00:00:00Z"/>
        <d v="2024-08-07T00:00:00Z"/>
        <d v="2025-03-19T00:00:00Z"/>
        <d v="2024-09-03T00:00:00Z"/>
        <d v="2024-06-26T00:00:00Z"/>
        <d v="2024-01-09T00:00:00Z"/>
        <d v="2025-05-09T00:00:00Z"/>
        <d v="2025-01-07T00:00:00Z"/>
        <d v="2024-09-18T00:00:00Z"/>
        <d v="2025-01-15T00:00:00Z"/>
        <d v="2024-10-15T00:00:00Z"/>
        <d v="2024-01-08T00:00:00Z"/>
        <d v="2024-06-14T00:00:00Z"/>
        <d v="2025-05-18T00:00:00Z"/>
        <d v="2025-01-25T00:00:00Z"/>
        <d v="2025-02-03T00:00:00Z"/>
        <d v="2024-06-17T00:00:00Z"/>
        <d v="2025-03-27T00:00:00Z"/>
        <d v="2024-08-04T00:00:00Z"/>
        <d v="2024-09-05T00:00:00Z"/>
        <d v="2025-06-05T00:00:00Z"/>
        <d v="2024-06-11T00:00:00Z"/>
        <d v="2024-04-23T00:00:00Z"/>
        <d v="2024-03-26T00:00:00Z"/>
        <d v="2024-09-26T00:00:00Z"/>
        <d v="2025-05-12T00:00:00Z"/>
        <d v="2025-06-27T00:00:00Z"/>
        <d v="2025-02-19T00:00:00Z"/>
        <d v="2024-05-01T00:00:00Z"/>
        <d v="2024-10-04T00:00:00Z"/>
        <d v="2024-07-08T00:00:00Z"/>
        <d v="2024-10-21T00:00:00Z"/>
        <d v="2024-10-08T00:00:00Z"/>
        <d v="2024-02-12T00:00:00Z"/>
        <d v="2025-02-24T00:00:00Z"/>
      </sharedItems>
    </cacheField>
    <cacheField name="Customer Name " numFmtId="0">
      <sharedItems>
        <s v="Alpine Ski House"/>
        <s v="Nordwind Energie"/>
        <s v="Tailspin Toys"/>
        <s v="Delhi Textiles"/>
        <s v="Lion City Traders"/>
        <s v="Mumbai Fresh Foods"/>
        <s v="Proseware GmbH"/>
        <s v="Blue Yonder Airlines"/>
        <s v="Coho Vineyard"/>
        <s v="Sydney Harbour Goods"/>
        <s v="Fabrikam Inc"/>
        <s v="Litware Systems"/>
        <s v="Wide World Importers"/>
        <s v="Outback Supplies"/>
        <s v="Desert Trading LLC"/>
        <s v="Pacific Northwest Co"/>
        <s v="Hanseatic Imports"/>
        <s v="Contoso Ltd"/>
        <s v="Wingtip Retail"/>
        <s v="Gulf Logistics"/>
        <s v="Emirates Retail Group"/>
        <s v="Tata Consultancy Retail"/>
        <s v="Adventure Works"/>
        <s v="Great Barrier Retail"/>
        <s v="Thames Valley Foods"/>
        <s v="Bengaluru Softworks"/>
        <s v="Northwind Traders"/>
        <s v="Maple Leaf Distributors"/>
        <s v="Marina Bay Retail"/>
        <s v="Graphic Design Institute"/>
      </sharedItems>
    </cacheField>
    <cacheField name="Country Code " numFmtId="0">
      <sharedItems>
        <s v="DE"/>
        <s v="CA"/>
        <s v="IN"/>
        <s v="SG"/>
        <s v="US"/>
        <s v="AU"/>
        <s v="GB"/>
        <s v="AE"/>
      </sharedItems>
    </cacheField>
    <cacheField name="Region" numFmtId="0">
      <sharedItems>
        <s v="EMEA"/>
        <s v="North America"/>
        <s v="APAC"/>
      </sharedItems>
    </cacheField>
    <cacheField name="Customer Size" numFmtId="0">
      <sharedItems>
        <s v="SMB"/>
        <s v="Mid-Market"/>
        <s v="Enterprise"/>
      </sharedItems>
    </cacheField>
    <cacheField name="Revenue">
      <sharedItems containsMixedTypes="1" containsNumber="1">
        <n v="306.58"/>
        <n v="4353.36"/>
        <s v="Missing"/>
        <n v="1685.44"/>
        <n v="11996.33"/>
        <n v="2913.04"/>
        <n v="35412.77"/>
        <n v="20575.8"/>
        <n v="2676.39"/>
        <n v="1684.85"/>
        <n v="8499.56"/>
        <n v="23617.89"/>
        <n v="4262.97"/>
        <n v="9752.79"/>
        <n v="7788.27"/>
        <n v="2864.96"/>
        <n v="7960.7"/>
        <n v="1340.76"/>
        <n v="2675.96"/>
        <n v="710.99"/>
        <n v="1623.39"/>
        <n v="10567.65"/>
        <n v="16558.86"/>
        <n v="1201.91"/>
        <n v="5194.29"/>
        <n v="1161.65"/>
        <n v="39528.52"/>
        <n v="16152.37"/>
        <n v="2816.96"/>
        <n v="37694.85"/>
        <n v="27283.78"/>
        <n v="2882.46"/>
        <n v="10142.51"/>
        <n v="8416.68"/>
        <n v="29237.12"/>
        <n v="23643.03"/>
        <n v="5004.12"/>
        <n v="8575.67"/>
        <n v="1951.7"/>
        <n v="2955.55"/>
        <n v="7915.42"/>
        <n v="380.98"/>
        <n v="18161.61"/>
        <n v="33648.31"/>
        <n v="9913.66"/>
        <n v="2741.0"/>
        <n v="740.04"/>
        <n v="2895.75"/>
        <n v="3453.29"/>
        <n v="1410.85"/>
        <n v="35985.64"/>
        <n v="4281.26"/>
        <n v="2520.3"/>
        <n v="4606.31"/>
        <n v="2969.74"/>
        <n v="1083.23"/>
        <n v="1980.07"/>
        <n v="7437.14"/>
        <n v="4945.43"/>
        <n v="7407.41"/>
        <n v="17910.97"/>
        <n v="11829.28"/>
        <n v="4776.12"/>
        <n v="2033.52"/>
        <n v="422.56"/>
        <n v="1377.24"/>
        <n v="36783.32"/>
        <n v="2066.58"/>
        <n v="8522.51"/>
        <n v="32674.33"/>
        <n v="17547.54"/>
        <n v="26218.25"/>
        <n v="7903.69"/>
        <n v="1182.01"/>
        <n v="39489.73"/>
        <n v="40969.5"/>
        <n v="6863.73"/>
        <n v="3368.18"/>
        <n v="6296.03"/>
        <n v="7877.92"/>
        <n v="2802.03"/>
        <n v="12114.85"/>
        <n v="10427.6"/>
        <n v="692.2"/>
        <n v="13352.6"/>
        <n v="2087.18"/>
        <n v="6900.64"/>
        <n v="41781.18"/>
        <n v="8103.83"/>
        <n v="3379.14"/>
        <n v="16518.64"/>
        <n v="1475.97"/>
        <n v="3148.45"/>
        <n v="29918.46"/>
        <n v="4040.65"/>
        <n v="4055.3"/>
        <n v="34045.42"/>
        <n v="3345.09"/>
        <n v="18298.85"/>
        <n v="2755.54"/>
        <n v="572.69"/>
        <n v="41379.0"/>
        <n v="2459.81"/>
        <n v="3268.38"/>
        <n v="6426.73"/>
        <n v="1149.7"/>
        <n v="1463.37"/>
        <n v="10749.74"/>
        <n v="15488.21"/>
        <n v="9496.11"/>
        <n v="6048.36"/>
        <n v="3522.01"/>
        <n v="22960.37"/>
        <n v="9274.81"/>
        <n v="3311.66"/>
        <n v="9404.92"/>
        <n v="2278.03"/>
        <n v="1104.47"/>
        <n v="8975.98"/>
        <n v="7515.3"/>
        <n v="9252.39"/>
        <n v="38227.45"/>
        <n v="7904.6"/>
        <n v="755.97"/>
        <n v="40290.64"/>
        <n v="11065.37"/>
        <n v="3880.4"/>
        <n v="3023.99"/>
        <n v="7297.19"/>
        <n v="33414.13"/>
        <n v="38593.61"/>
        <n v="1151.91"/>
        <n v="580.03"/>
        <n v="2874.13"/>
        <n v="7614.9"/>
        <n v="37798.85"/>
        <n v="9320.95"/>
        <n v="7418.67"/>
        <n v="2086.75"/>
        <n v="30272.74"/>
        <n v="7195.82"/>
        <n v="33399.41"/>
        <n v="11370.85"/>
        <n v="2886.37"/>
        <n v="2947.31"/>
        <n v="16516.18"/>
        <n v="594.13"/>
        <n v="2567.67"/>
        <n v="10470.39"/>
        <n v="39109.81"/>
        <n v="36658.64"/>
        <n v="2111.16"/>
        <n v="3937.55"/>
        <n v="10295.69"/>
        <n v="2896.72"/>
        <n v="7453.86"/>
        <n v="40856.03"/>
        <n v="34910.77"/>
        <n v="17423.73"/>
        <n v="35394.42"/>
        <n v="2569.43"/>
        <n v="2539.64"/>
        <n v="21386.76"/>
        <n v="3861.25"/>
        <n v="28903.26"/>
        <n v="5375.17"/>
        <n v="2906.21"/>
        <n v="39816.64"/>
        <n v="3442.08"/>
        <n v="3429.1"/>
        <n v="1707.62"/>
        <n v="11085.09"/>
        <n v="20783.52"/>
        <n v="4706.18"/>
        <n v="4074.23"/>
        <n v="41157.85"/>
        <n v="1896.19"/>
        <n v="1590.6"/>
        <n v="5263.63"/>
        <n v="10388.6"/>
        <n v="4861.58"/>
        <n v="4692.11"/>
        <n v="602.99"/>
        <n v="31134.09"/>
        <n v="4621.2"/>
        <n v="31666.45"/>
        <n v="3498.77"/>
        <n v="36637.36"/>
        <n v="10807.43"/>
        <n v="3052.43"/>
        <n v="3216.66"/>
        <n v="2913.49"/>
        <n v="6128.53"/>
        <n v="11729.5"/>
        <n v="37911.88"/>
        <n v="827.07"/>
        <n v="7341.35"/>
        <n v="29692.57"/>
        <n v="21152.45"/>
        <n v="2124.25"/>
        <n v="1297.55"/>
        <n v="2669.88"/>
        <n v="2230.48"/>
        <n v="357.18"/>
        <n v="2655.12"/>
        <n v="986.77"/>
        <n v="3955.88"/>
        <n v="13685.2"/>
        <n v="1516.14"/>
        <n v="2941.33"/>
        <n v="10557.97"/>
        <n v="7111.23"/>
        <n v="886.57"/>
        <n v="7595.4"/>
        <n v="2843.85"/>
        <n v="7622.36"/>
        <n v="10492.83"/>
        <n v="3080.11"/>
        <n v="18120.28"/>
        <n v="36044.07"/>
        <n v="8634.23"/>
        <n v="870.84"/>
        <n v="22860.33"/>
        <n v="16455.67"/>
        <n v="35860.61"/>
        <n v="25988.71"/>
        <n v="11020.28"/>
        <n v="3342.8"/>
        <n v="27541.02"/>
        <n v="9667.5"/>
        <n v="9722.15"/>
        <n v="24855.35"/>
        <n v="6414.27"/>
        <n v="6201.19"/>
        <n v="7754.97"/>
        <n v="5610.23"/>
        <n v="25361.05"/>
        <n v="10584.39"/>
        <n v="10287.15"/>
        <n v="32640.25"/>
        <n v="815.97"/>
        <n v="3388.24"/>
        <n v="13839.84"/>
        <n v="1653.48"/>
        <n v="37771.57"/>
        <n v="21644.97"/>
        <n v="30931.71"/>
        <n v="1060.47"/>
        <n v="39345.11"/>
        <n v="10541.46"/>
        <n v="11356.48"/>
        <n v="6169.74"/>
        <n v="37218.84"/>
        <n v="6976.26"/>
        <n v="34544.72"/>
        <n v="539.24"/>
        <n v="4292.4"/>
        <n v="4379.15"/>
        <n v="2685.67"/>
        <n v="9911.13"/>
        <n v="2958.21"/>
        <n v="39854.97"/>
        <n v="2994.16"/>
        <n v="11140.52"/>
        <n v="23785.4"/>
        <n v="9685.5"/>
        <n v="3965.61"/>
        <n v="6206.45"/>
        <n v="25718.31"/>
        <n v="7401.21"/>
        <n v="33739.73"/>
        <n v="2621.36"/>
        <n v="8172.91"/>
        <n v="13066.48"/>
        <n v="1375.72"/>
        <n v="31387.68"/>
        <n v="24789.4"/>
        <n v="2025.7"/>
        <n v="355.66"/>
        <n v="739.97"/>
        <n v="1517.92"/>
        <n v="23030.2"/>
        <n v="563.9"/>
        <n v="35172.31"/>
        <n v="3000.83"/>
        <n v="3166.17"/>
        <n v="675.92"/>
        <n v="16464.9"/>
        <n v="23986.95"/>
        <n v="3256.07"/>
        <n v="11129.16"/>
        <n v="5457.56"/>
        <n v="11129.98"/>
        <n v="40799.93"/>
        <n v="3853.62"/>
        <n v="3226.73"/>
        <n v="5822.31"/>
        <n v="530.97"/>
        <n v="1962.68"/>
        <n v="330.0"/>
        <n v="3402.8"/>
        <n v="15676.25"/>
        <n v="29914.68"/>
        <n v="2786.63"/>
        <n v="2939.78"/>
        <n v="1959.19"/>
        <n v="3481.97"/>
        <n v="19249.2"/>
        <n v="10041.97"/>
        <n v="27479.94"/>
        <n v="1447.33"/>
        <n v="2953.07"/>
        <n v="31064.43"/>
        <n v="26629.19"/>
        <n v="11902.7"/>
        <n v="6143.73"/>
        <n v="28309.78"/>
        <n v="2523.86"/>
        <n v="22349.51"/>
        <n v="29186.94"/>
        <n v="904.1"/>
        <n v="26766.65"/>
        <n v="2794.22"/>
        <n v="3181.76"/>
        <n v="2989.6"/>
        <n v="31422.68"/>
        <n v="9159.91"/>
        <n v="1106.63"/>
        <n v="9705.9"/>
        <n v="483.4"/>
        <n v="7671.0"/>
        <n v="2505.12"/>
        <n v="1524.72"/>
        <n v="7162.43"/>
        <n v="19320.07"/>
        <n v="1523.01"/>
        <n v="870.14"/>
        <n v="2475.23"/>
        <n v="5887.23"/>
        <n v="7781.61"/>
        <n v="4937.68"/>
        <n v="7945.44"/>
        <n v="2170.82"/>
        <n v="2256.43"/>
        <n v="9259.32"/>
        <n v="1797.14"/>
        <n v="8856.32"/>
        <n v="23066.1"/>
        <n v="2569.44"/>
        <n v="7180.92"/>
        <n v="9390.15"/>
        <n v="2687.9"/>
        <n v="23157.97"/>
        <n v="475.25"/>
        <n v="9975.54"/>
        <n v="8502.38"/>
        <n v="8097.57"/>
        <n v="5963.8"/>
        <n v="30121.78"/>
        <n v="1466.6"/>
        <n v="24353.51"/>
        <n v="3580.16"/>
        <n v="10509.13"/>
        <n v="2865.49"/>
        <n v="10364.03"/>
        <n v="7263.26"/>
        <n v="1252.62"/>
        <n v="4694.55"/>
        <n v="2418.77"/>
        <n v="7228.38"/>
        <n v="6019.45"/>
        <n v="6589.8"/>
        <n v="4295.28"/>
        <n v="23793.25"/>
        <n v="10506.32"/>
        <n v="4148.06"/>
        <n v="28392.52"/>
        <n v="1341.45"/>
        <n v="8362.0"/>
        <n v="3359.3"/>
        <n v="20291.68"/>
        <n v="16697.13"/>
        <n v="11916.01"/>
        <n v="16414.43"/>
        <n v="11917.14"/>
        <n v="12917.13"/>
        <n v="9109.67"/>
        <n v="3120.41"/>
        <n v="24431.23"/>
        <n v="1201.6"/>
        <n v="14142.47"/>
        <n v="4871.42"/>
        <n v="24250.32"/>
        <n v="9507.95"/>
        <n v="8527.93"/>
        <n v="7178.54"/>
        <n v="8603.1"/>
        <n v="10670.73"/>
        <n v="2763.08"/>
        <n v="2486.08"/>
        <n v="8912.28"/>
        <n v="28407.62"/>
        <n v="23087.72"/>
        <n v="9543.3"/>
        <n v="6705.84"/>
        <n v="11516.62"/>
        <n v="31681.09"/>
        <n v="17576.96"/>
        <n v="2963.81"/>
        <n v="28913.05"/>
        <n v="2003.64"/>
        <n v="4348.26"/>
        <n v="4875.49"/>
        <n v="3262.64"/>
        <n v="15520.16"/>
        <n v="4716.65"/>
        <n v="1110.82"/>
        <n v="28391.36"/>
        <n v="3308.65"/>
        <n v="14366.56"/>
        <n v="29739.08"/>
        <n v="28089.41"/>
        <n v="1682.47"/>
        <n v="391.3"/>
        <n v="2742.26"/>
        <n v="6374.57"/>
        <n v="2854.7"/>
        <n v="14090.95"/>
        <n v="1163.51"/>
        <n v="40375.13"/>
        <n v="8015.71"/>
        <n v="592.34"/>
        <n v="923.35"/>
        <n v="21247.0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41" sheet="Clean_Data"/>
  </cacheSource>
  <cacheFields>
    <cacheField name="Order ID " numFmtId="0">
      <sharedItems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</sharedItems>
    </cacheField>
    <cacheField name="Order Date">
      <sharedItems containsDate="1" containsMixedTypes="1">
        <d v="2024-10-07T00:00:00Z"/>
        <s v="Invalid Date"/>
        <d v="2024-08-15T00:00:00Z"/>
        <d v="2024-01-30T00:00:00Z"/>
        <d v="2025-04-24T00:00:00Z"/>
        <d v="2025-01-17T00:00:00Z"/>
        <d v="2024-01-22T00:00:00Z"/>
        <d v="2024-09-28T00:00:00Z"/>
        <d v="2024-05-10T00:00:00Z"/>
        <d v="2025-04-04T00:00:00Z"/>
        <d v="2024-06-20T00:00:00Z"/>
        <d v="2024-11-06T00:00:00Z"/>
        <d v="2024-07-10T00:00:00Z"/>
        <d v="2025-02-14T00:00:00Z"/>
        <d v="2024-08-23T00:00:00Z"/>
        <d v="2025-03-01T00:00:00Z"/>
        <d v="2024-09-14T00:00:00Z"/>
        <d v="2025-04-05T00:00:00Z"/>
        <d v="2025-05-01T00:00:00Z"/>
        <d v="2024-07-05T00:00:00Z"/>
        <d v="2025-01-11T00:00:00Z"/>
        <d v="2025-05-06T00:00:00Z"/>
        <d v="2024-05-06T00:00:00Z"/>
        <d v="2024-09-22T00:00:00Z"/>
        <d v="2025-06-14T00:00:00Z"/>
        <d v="2025-01-14T00:00:00Z"/>
        <d v="2025-06-29T00:00:00Z"/>
        <d v="2024-11-17T00:00:00Z"/>
        <d v="2024-05-21T00:00:00Z"/>
        <d v="2025-03-22T00:00:00Z"/>
        <d v="2024-12-10T00:00:00Z"/>
        <d v="2025-06-09T00:00:00Z"/>
        <d v="2024-09-12T00:00:00Z"/>
        <d v="2024-09-13T00:00:00Z"/>
        <d v="2024-08-22T00:00:00Z"/>
        <d v="2025-02-22T00:00:00Z"/>
        <d v="2025-06-21T00:00:00Z"/>
        <d v="2025-03-09T00:00:00Z"/>
        <d v="2024-12-07T00:00:00Z"/>
        <d v="2025-03-28T00:00:00Z"/>
        <d v="2025-01-10T00:00:00Z"/>
        <d v="2024-04-12T00:00:00Z"/>
        <d v="2024-10-27T00:00:00Z"/>
        <d v="2024-08-21T00:00:00Z"/>
        <d v="2025-01-16T00:00:00Z"/>
        <d v="2024-11-09T00:00:00Z"/>
        <d v="2025-05-26T00:00:00Z"/>
        <d v="2024-05-13T00:00:00Z"/>
        <d v="2025-03-03T00:00:00Z"/>
        <d v="2024-08-31T00:00:00Z"/>
        <d v="2024-06-03T00:00:00Z"/>
        <d v="2024-12-09T00:00:00Z"/>
        <d v="2024-08-06T00:00:00Z"/>
        <d v="2025-04-08T00:00:00Z"/>
        <d v="2024-07-25T00:00:00Z"/>
        <d v="2025-03-24T00:00:00Z"/>
        <d v="2024-07-03T00:00:00Z"/>
        <d v="2024-10-11T00:00:00Z"/>
        <d v="2025-04-13T00:00:00Z"/>
        <d v="2024-06-09T00:00:00Z"/>
        <d v="2024-09-21T00:00:00Z"/>
        <d v="2024-03-01T00:00:00Z"/>
        <d v="2024-06-13T00:00:00Z"/>
        <d v="2025-05-08T00:00:00Z"/>
        <d v="2024-05-19T00:00:00Z"/>
        <d v="2024-03-29T00:00:00Z"/>
        <d v="2024-08-16T00:00:00Z"/>
        <d v="2025-06-18T00:00:00Z"/>
        <d v="2024-02-18T00:00:00Z"/>
        <d v="2025-02-17T00:00:00Z"/>
        <d v="2025-04-17T00:00:00Z"/>
        <d v="2025-02-12T00:00:00Z"/>
        <d v="2024-06-15T00:00:00Z"/>
        <d v="2025-01-28T00:00:00Z"/>
        <d v="2025-02-05T00:00:00Z"/>
        <d v="2024-03-03T00:00:00Z"/>
        <d v="2025-02-26T00:00:00Z"/>
        <d v="2024-06-25T00:00:00Z"/>
        <d v="2024-04-04T00:00:00Z"/>
        <d v="2024-11-08T00:00:00Z"/>
        <d v="2025-03-26T00:00:00Z"/>
        <d v="2024-11-20T00:00:00Z"/>
        <d v="2024-03-30T00:00:00Z"/>
        <d v="2024-11-15T00:00:00Z"/>
        <d v="2024-10-30T00:00:00Z"/>
        <d v="2024-01-13T00:00:00Z"/>
        <d v="2024-01-28T00:00:00Z"/>
        <d v="2024-11-10T00:00:00Z"/>
        <d v="2024-01-10T00:00:00Z"/>
        <d v="2024-07-21T00:00:00Z"/>
        <d v="2025-03-04T00:00:00Z"/>
        <d v="2025-06-24T00:00:00Z"/>
        <d v="2024-05-09T00:00:00Z"/>
        <d v="2025-02-15T00:00:00Z"/>
        <d v="2024-11-13T00:00:00Z"/>
        <d v="2024-08-30T00:00:00Z"/>
        <d v="2024-08-25T00:00:00Z"/>
        <d v="2024-08-27T00:00:00Z"/>
        <d v="2024-05-16T00:00:00Z"/>
        <d v="2024-12-30T00:00:00Z"/>
        <d v="2024-08-24T00:00:00Z"/>
        <d v="2024-07-14T00:00:00Z"/>
        <d v="2024-12-03T00:00:00Z"/>
        <d v="2024-12-04T00:00:00Z"/>
        <d v="2024-12-11T00:00:00Z"/>
        <d v="2025-01-30T00:00:00Z"/>
        <d v="2024-08-29T00:00:00Z"/>
        <d v="2024-02-05T00:00:00Z"/>
        <d v="2024-03-02T00:00:00Z"/>
        <d v="2024-04-28T00:00:00Z"/>
        <d v="2024-02-24T00:00:00Z"/>
        <d v="2024-12-15T00:00:00Z"/>
        <d v="2025-02-13T00:00:00Z"/>
        <d v="2025-04-20T00:00:00Z"/>
        <d v="2024-03-22T00:00:00Z"/>
        <d v="2024-12-18T00:00:00Z"/>
        <d v="2024-02-07T00:00:00Z"/>
        <d v="2024-08-26T00:00:00Z"/>
        <d v="2024-03-14T00:00:00Z"/>
        <d v="2024-06-21T00:00:00Z"/>
        <d v="2024-11-04T00:00:00Z"/>
        <d v="2024-05-25T00:00:00Z"/>
        <d v="2025-03-21T00:00:00Z"/>
        <d v="2024-05-28T00:00:00Z"/>
        <d v="2025-01-26T00:00:00Z"/>
        <d v="2024-11-05T00:00:00Z"/>
        <d v="2025-05-22T00:00:00Z"/>
        <d v="2025-05-24T00:00:00Z"/>
        <d v="2024-06-23T00:00:00Z"/>
        <d v="2024-10-16T00:00:00Z"/>
        <d v="2025-02-21T00:00:00Z"/>
        <d v="2024-07-15T00:00:00Z"/>
        <d v="2024-12-05T00:00:00Z"/>
        <d v="2024-02-28T00:00:00Z"/>
        <d v="2024-03-17T00:00:00Z"/>
        <d v="2024-02-19T00:00:00Z"/>
        <d v="2025-01-23T00:00:00Z"/>
        <d v="2024-01-12T00:00:00Z"/>
        <d v="2024-01-29T00:00:00Z"/>
        <d v="2024-09-25T00:00:00Z"/>
        <d v="2025-01-05T00:00:00Z"/>
        <d v="2024-03-28T00:00:00Z"/>
        <d v="2024-12-26T00:00:00Z"/>
        <d v="2024-10-09T00:00:00Z"/>
        <d v="2024-02-10T00:00:00Z"/>
        <d v="2025-06-23T00:00:00Z"/>
        <d v="2024-03-06T00:00:00Z"/>
        <d v="2025-05-27T00:00:00Z"/>
        <d v="2025-03-10T00:00:00Z"/>
        <d v="2024-04-13T00:00:00Z"/>
        <d v="2024-04-03T00:00:00Z"/>
        <d v="2024-04-29T00:00:00Z"/>
        <d v="2024-02-29T00:00:00Z"/>
        <d v="2024-02-02T00:00:00Z"/>
        <d v="2024-11-27T00:00:00Z"/>
        <d v="2024-05-14T00:00:00Z"/>
        <d v="2024-08-13T00:00:00Z"/>
        <d v="2024-01-18T00:00:00Z"/>
        <d v="2024-06-29T00:00:00Z"/>
        <d v="2024-08-08T00:00:00Z"/>
        <d v="2024-07-26T00:00:00Z"/>
        <d v="2024-04-25T00:00:00Z"/>
        <d v="2025-05-02T00:00:00Z"/>
        <d v="2024-10-26T00:00:00Z"/>
        <d v="2024-09-23T00:00:00Z"/>
        <d v="2025-05-20T00:00:00Z"/>
        <d v="2025-05-03T00:00:00Z"/>
        <d v="2024-08-18T00:00:00Z"/>
        <d v="2024-05-15T00:00:00Z"/>
        <d v="2024-02-20T00:00:00Z"/>
        <d v="2024-02-25T00:00:00Z"/>
        <d v="2025-04-06T00:00:00Z"/>
        <d v="2025-01-18T00:00:00Z"/>
        <d v="2024-11-01T00:00:00Z"/>
        <d v="2024-09-11T00:00:00Z"/>
        <d v="2024-11-18T00:00:00Z"/>
        <d v="2024-07-07T00:00:00Z"/>
        <d v="2024-09-10T00:00:00Z"/>
        <d v="2024-01-14T00:00:00Z"/>
        <d v="2024-02-01T00:00:00Z"/>
        <d v="2025-04-30T00:00:00Z"/>
        <d v="2025-01-27T00:00:00Z"/>
        <d v="2024-07-09T00:00:00Z"/>
        <d v="2025-06-20T00:00:00Z"/>
        <d v="2024-01-17T00:00:00Z"/>
        <d v="2024-11-23T00:00:00Z"/>
        <d v="2024-02-15T00:00:00Z"/>
        <d v="2024-05-29T00:00:00Z"/>
        <d v="2024-09-17T00:00:00Z"/>
        <d v="2025-04-21T00:00:00Z"/>
        <d v="2024-03-31T00:00:00Z"/>
        <d v="2024-10-05T00:00:00Z"/>
        <d v="2025-06-08T00:00:00Z"/>
        <d v="2024-06-18T00:00:00Z"/>
        <d v="2024-11-25T00:00:00Z"/>
        <d v="2024-12-28T00:00:00Z"/>
        <d v="2025-02-06T00:00:00Z"/>
        <d v="2025-01-06T00:00:00Z"/>
        <d v="2024-01-11T00:00:00Z"/>
        <d v="2025-06-07T00:00:00Z"/>
        <d v="2025-04-07T00:00:00Z"/>
        <d v="2024-02-09T00:00:00Z"/>
        <d v="2025-06-17T00:00:00Z"/>
        <d v="2025-05-10T00:00:00Z"/>
        <d v="2025-03-13T00:00:00Z"/>
        <d v="2024-02-03T00:00:00Z"/>
        <d v="2024-04-11T00:00:00Z"/>
        <d v="2024-08-03T00:00:00Z"/>
        <d v="2024-03-10T00:00:00Z"/>
        <d v="2025-06-22T00:00:00Z"/>
        <d v="2024-01-19T00:00:00Z"/>
        <d v="2025-03-25T00:00:00Z"/>
        <d v="2024-04-26T00:00:00Z"/>
        <d v="2024-10-25T00:00:00Z"/>
        <d v="2024-07-29T00:00:00Z"/>
        <d v="2024-12-17T00:00:00Z"/>
        <d v="2024-04-07T00:00:00Z"/>
        <d v="2025-06-26T00:00:00Z"/>
        <d v="2024-07-17T00:00:00Z"/>
        <d v="2024-10-14T00:00:00Z"/>
        <d v="2024-07-11T00:00:00Z"/>
        <d v="2024-02-26T00:00:00Z"/>
        <d v="2024-10-20T00:00:00Z"/>
        <d v="2024-10-24T00:00:00Z"/>
        <d v="2024-12-21T00:00:00Z"/>
        <d v="2024-12-20T00:00:00Z"/>
        <d v="2025-02-09T00:00:00Z"/>
        <d v="2025-02-23T00:00:00Z"/>
        <d v="2024-06-08T00:00:00Z"/>
        <d v="2024-04-18T00:00:00Z"/>
        <d v="2025-05-13T00:00:00Z"/>
        <d v="2025-05-05T00:00:00Z"/>
        <d v="2024-01-23T00:00:00Z"/>
        <d v="2025-02-27T00:00:00Z"/>
        <d v="2024-08-28T00:00:00Z"/>
        <d v="2024-11-30T00:00:00Z"/>
        <d v="2025-03-16T00:00:00Z"/>
        <d v="2024-09-04T00:00:00Z"/>
        <d v="2025-02-02T00:00:00Z"/>
        <d v="2024-12-24T00:00:00Z"/>
        <d v="2024-08-14T00:00:00Z"/>
        <d v="2025-03-23T00:00:00Z"/>
        <d v="2024-10-02T00:00:00Z"/>
        <d v="2024-11-21T00:00:00Z"/>
        <d v="2024-06-30T00:00:00Z"/>
        <d v="2024-01-07T00:00:00Z"/>
        <d v="2024-01-21T00:00:00Z"/>
        <d v="2025-02-08T00:00:00Z"/>
        <d v="2025-01-13T00:00:00Z"/>
        <d v="2024-03-24T00:00:00Z"/>
        <d v="2024-04-02T00:00:00Z"/>
        <d v="2025-04-18T00:00:00Z"/>
        <d v="2025-04-28T00:00:00Z"/>
        <d v="2024-03-23T00:00:00Z"/>
        <d v="2024-06-28T00:00:00Z"/>
        <d v="2025-01-12T00:00:00Z"/>
        <d v="2024-11-29T00:00:00Z"/>
        <d v="2025-01-01T00:00:00Z"/>
        <d v="2025-05-21T00:00:00Z"/>
        <d v="2024-01-03T00:00:00Z"/>
        <d v="2024-04-15T00:00:00Z"/>
        <d v="2024-03-09T00:00:00Z"/>
        <d v="2024-01-05T00:00:00Z"/>
        <d v="2025-02-28T00:00:00Z"/>
        <d v="2024-10-29T00:00:00Z"/>
        <d v="2024-05-23T00:00:00Z"/>
        <d v="2024-08-07T00:00:00Z"/>
        <d v="2025-03-19T00:00:00Z"/>
        <d v="2024-09-03T00:00:00Z"/>
        <d v="2024-06-26T00:00:00Z"/>
        <d v="2024-01-09T00:00:00Z"/>
        <d v="2025-05-09T00:00:00Z"/>
        <d v="2025-01-07T00:00:00Z"/>
        <d v="2024-09-18T00:00:00Z"/>
        <d v="2025-01-15T00:00:00Z"/>
        <d v="2024-10-15T00:00:00Z"/>
        <d v="2024-01-08T00:00:00Z"/>
        <d v="2024-06-14T00:00:00Z"/>
        <d v="2025-05-18T00:00:00Z"/>
        <d v="2025-01-25T00:00:00Z"/>
        <d v="2025-02-03T00:00:00Z"/>
        <d v="2024-06-17T00:00:00Z"/>
        <d v="2025-03-27T00:00:00Z"/>
        <d v="2024-08-04T00:00:00Z"/>
        <d v="2024-09-05T00:00:00Z"/>
        <d v="2025-06-05T00:00:00Z"/>
        <d v="2024-06-11T00:00:00Z"/>
        <d v="2024-04-23T00:00:00Z"/>
        <d v="2024-03-26T00:00:00Z"/>
        <d v="2024-09-26T00:00:00Z"/>
        <d v="2025-05-12T00:00:00Z"/>
        <d v="2025-06-27T00:00:00Z"/>
        <d v="2025-02-19T00:00:00Z"/>
        <d v="2024-05-01T00:00:00Z"/>
        <d v="2024-10-04T00:00:00Z"/>
        <d v="2024-07-08T00:00:00Z"/>
        <d v="2024-10-21T00:00:00Z"/>
        <d v="2024-10-08T00:00:00Z"/>
        <d v="2024-02-12T00:00:00Z"/>
        <d v="2025-02-24T00:00:00Z"/>
      </sharedItems>
    </cacheField>
    <cacheField name="Customer Name " numFmtId="0">
      <sharedItems>
        <s v="Alpine Ski House"/>
        <s v="Nordwind Energie"/>
        <s v="Tailspin Toys"/>
        <s v="Delhi Textiles"/>
        <s v="Lion City Traders"/>
        <s v="Mumbai Fresh Foods"/>
        <s v="Proseware GmbH"/>
        <s v="Blue Yonder Airlines"/>
        <s v="Coho Vineyard"/>
        <s v="Sydney Harbour Goods"/>
        <s v="Fabrikam Inc"/>
        <s v="Litware Systems"/>
        <s v="Wide World Importers"/>
        <s v="Outback Supplies"/>
        <s v="Desert Trading LLC"/>
        <s v="Pacific Northwest Co"/>
        <s v="Hanseatic Imports"/>
        <s v="Contoso Ltd"/>
        <s v="Wingtip Retail"/>
        <s v="Gulf Logistics"/>
        <s v="Emirates Retail Group"/>
        <s v="Tata Consultancy Retail"/>
        <s v="Adventure Works"/>
        <s v="Great Barrier Retail"/>
        <s v="Thames Valley Foods"/>
        <s v="Bengaluru Softworks"/>
        <s v="Northwind Traders"/>
        <s v="Maple Leaf Distributors"/>
        <s v="Marina Bay Retail"/>
        <s v="Graphic Design Institute"/>
      </sharedItems>
    </cacheField>
    <cacheField name="Country Code " numFmtId="0">
      <sharedItems>
        <s v="DE"/>
        <s v="CA"/>
        <s v="IN"/>
        <s v="SG"/>
        <s v="US"/>
        <s v="AU"/>
        <s v="GB"/>
        <s v="AE"/>
      </sharedItems>
    </cacheField>
    <cacheField name="Region" numFmtId="0">
      <sharedItems>
        <s v="EMEA"/>
        <s v="North America"/>
        <s v="APAC"/>
      </sharedItems>
    </cacheField>
    <cacheField name="Customer Size" numFmtId="0">
      <sharedItems>
        <s v="SMB"/>
        <s v="Mid-Market"/>
        <s v="Enterprise"/>
      </sharedItems>
    </cacheField>
    <cacheField name="Revenue">
      <sharedItems containsMixedTypes="1" containsNumber="1">
        <n v="306.58"/>
        <n v="4353.36"/>
        <s v="Missing"/>
        <n v="1685.44"/>
        <n v="11996.33"/>
        <n v="2913.04"/>
        <n v="35412.77"/>
        <n v="20575.8"/>
        <n v="2676.39"/>
        <n v="1684.85"/>
        <n v="8499.56"/>
        <n v="23617.89"/>
        <n v="4262.97"/>
        <n v="9752.79"/>
        <n v="7788.27"/>
        <n v="2864.96"/>
        <n v="7960.7"/>
        <n v="1340.76"/>
        <n v="2675.96"/>
        <n v="710.99"/>
        <n v="1623.39"/>
        <n v="10567.65"/>
        <n v="16558.86"/>
        <n v="1201.91"/>
        <n v="5194.29"/>
        <n v="1161.65"/>
        <n v="39528.52"/>
        <n v="16152.37"/>
        <n v="2816.96"/>
        <n v="37694.85"/>
        <n v="27283.78"/>
        <n v="2882.46"/>
        <n v="10142.51"/>
        <n v="8416.68"/>
        <n v="29237.12"/>
        <n v="23643.03"/>
        <n v="5004.12"/>
        <n v="8575.67"/>
        <n v="1951.7"/>
        <n v="2955.55"/>
        <n v="7915.42"/>
        <n v="380.98"/>
        <n v="18161.61"/>
        <n v="33648.31"/>
        <n v="9913.66"/>
        <n v="2741.0"/>
        <n v="740.04"/>
        <n v="2895.75"/>
        <n v="3453.29"/>
        <n v="1410.85"/>
        <n v="35985.64"/>
        <n v="4281.26"/>
        <n v="2520.3"/>
        <n v="4606.31"/>
        <n v="2969.74"/>
        <n v="1083.23"/>
        <n v="1980.07"/>
        <n v="7437.14"/>
        <n v="4945.43"/>
        <n v="7407.41"/>
        <n v="17910.97"/>
        <n v="11829.28"/>
        <n v="4776.12"/>
        <n v="2033.52"/>
        <n v="422.56"/>
        <n v="1377.24"/>
        <n v="36783.32"/>
        <n v="2066.58"/>
        <n v="8522.51"/>
        <n v="32674.33"/>
        <n v="17547.54"/>
        <n v="26218.25"/>
        <n v="7903.69"/>
        <n v="1182.01"/>
        <n v="39489.73"/>
        <n v="40969.5"/>
        <n v="6863.73"/>
        <n v="3368.18"/>
        <n v="6296.03"/>
        <n v="7877.92"/>
        <n v="2802.03"/>
        <n v="12114.85"/>
        <n v="10427.6"/>
        <n v="692.2"/>
        <n v="13352.6"/>
        <n v="2087.18"/>
        <n v="6900.64"/>
        <n v="41781.18"/>
        <n v="8103.83"/>
        <n v="3379.14"/>
        <n v="16518.64"/>
        <n v="1475.97"/>
        <n v="3148.45"/>
        <n v="29918.46"/>
        <n v="4040.65"/>
        <n v="4055.3"/>
        <n v="34045.42"/>
        <n v="3345.09"/>
        <n v="18298.85"/>
        <n v="2755.54"/>
        <n v="572.69"/>
        <n v="41379.0"/>
        <n v="2459.81"/>
        <n v="3268.38"/>
        <n v="6426.73"/>
        <n v="1149.7"/>
        <n v="1463.37"/>
        <n v="10749.74"/>
        <n v="15488.21"/>
        <n v="9496.11"/>
        <n v="6048.36"/>
        <n v="3522.01"/>
        <n v="22960.37"/>
        <n v="9274.81"/>
        <n v="3311.66"/>
        <n v="9404.92"/>
        <n v="2278.03"/>
        <n v="1104.47"/>
        <n v="8975.98"/>
        <n v="7515.3"/>
        <n v="9252.39"/>
        <n v="38227.45"/>
        <n v="7904.6"/>
        <n v="755.97"/>
        <n v="40290.64"/>
        <n v="11065.37"/>
        <n v="3880.4"/>
        <n v="3023.99"/>
        <n v="7297.19"/>
        <n v="33414.13"/>
        <n v="38593.61"/>
        <n v="1151.91"/>
        <n v="580.03"/>
        <n v="2874.13"/>
        <n v="7614.9"/>
        <n v="37798.85"/>
        <n v="9320.95"/>
        <n v="7418.67"/>
        <n v="2086.75"/>
        <n v="30272.74"/>
        <n v="7195.82"/>
        <n v="33399.41"/>
        <n v="11370.85"/>
        <n v="2886.37"/>
        <n v="2947.31"/>
        <n v="16516.18"/>
        <n v="594.13"/>
        <n v="2567.67"/>
        <n v="10470.39"/>
        <n v="39109.81"/>
        <n v="36658.64"/>
        <n v="2111.16"/>
        <n v="3937.55"/>
        <n v="10295.69"/>
        <n v="2896.72"/>
        <n v="7453.86"/>
        <n v="40856.03"/>
        <n v="34910.77"/>
        <n v="17423.73"/>
        <n v="35394.42"/>
        <n v="2569.43"/>
        <n v="2539.64"/>
        <n v="21386.76"/>
        <n v="3861.25"/>
        <n v="28903.26"/>
        <n v="5375.17"/>
        <n v="2906.21"/>
        <n v="39816.64"/>
        <n v="3442.08"/>
        <n v="3429.1"/>
        <n v="1707.62"/>
        <n v="11085.09"/>
        <n v="20783.52"/>
        <n v="4706.18"/>
        <n v="4074.23"/>
        <n v="41157.85"/>
        <n v="1896.19"/>
        <n v="1590.6"/>
        <n v="5263.63"/>
        <n v="10388.6"/>
        <n v="4861.58"/>
        <n v="4692.11"/>
        <n v="602.99"/>
        <n v="31134.09"/>
        <n v="4621.2"/>
        <n v="31666.45"/>
        <n v="3498.77"/>
        <n v="36637.36"/>
        <n v="10807.43"/>
        <n v="3052.43"/>
        <n v="3216.66"/>
        <n v="2913.49"/>
        <n v="6128.53"/>
        <n v="11729.5"/>
        <n v="37911.88"/>
        <n v="827.07"/>
        <n v="7341.35"/>
        <n v="29692.57"/>
        <n v="21152.45"/>
        <n v="2124.25"/>
        <n v="1297.55"/>
        <n v="2669.88"/>
        <n v="2230.48"/>
        <n v="357.18"/>
        <n v="2655.12"/>
        <n v="986.77"/>
        <n v="3955.88"/>
        <n v="13685.2"/>
        <n v="1516.14"/>
        <n v="2941.33"/>
        <n v="10557.97"/>
        <n v="7111.23"/>
        <n v="886.57"/>
        <n v="7595.4"/>
        <n v="2843.85"/>
        <n v="7622.36"/>
        <n v="10492.83"/>
        <n v="3080.11"/>
        <n v="18120.28"/>
        <n v="36044.07"/>
        <n v="8634.23"/>
        <n v="870.84"/>
        <n v="22860.33"/>
        <n v="16455.67"/>
        <n v="35860.61"/>
        <n v="25988.71"/>
        <n v="11020.28"/>
        <n v="3342.8"/>
        <n v="27541.02"/>
        <n v="9667.5"/>
        <n v="9722.15"/>
        <n v="24855.35"/>
        <n v="6414.27"/>
        <n v="6201.19"/>
        <n v="7754.97"/>
        <n v="5610.23"/>
        <n v="25361.05"/>
        <n v="10584.39"/>
        <n v="10287.15"/>
        <n v="32640.25"/>
        <n v="815.97"/>
        <n v="3388.24"/>
        <n v="13839.84"/>
        <n v="1653.48"/>
        <n v="37771.57"/>
        <n v="21644.97"/>
        <n v="30931.71"/>
        <n v="1060.47"/>
        <n v="39345.11"/>
        <n v="10541.46"/>
        <n v="11356.48"/>
        <n v="6169.74"/>
        <n v="37218.84"/>
        <n v="6976.26"/>
        <n v="34544.72"/>
        <n v="539.24"/>
        <n v="4292.4"/>
        <n v="4379.15"/>
        <n v="2685.67"/>
        <n v="9911.13"/>
        <n v="2958.21"/>
        <n v="39854.97"/>
        <n v="2994.16"/>
        <n v="11140.52"/>
        <n v="23785.4"/>
        <n v="9685.5"/>
        <n v="3965.61"/>
        <n v="6206.45"/>
        <n v="25718.31"/>
        <n v="7401.21"/>
        <n v="33739.73"/>
        <n v="2621.36"/>
        <n v="8172.91"/>
        <n v="13066.48"/>
        <n v="1375.72"/>
        <n v="31387.68"/>
        <n v="24789.4"/>
        <n v="2025.7"/>
        <n v="355.66"/>
        <n v="739.97"/>
        <n v="1517.92"/>
        <n v="23030.2"/>
        <n v="563.9"/>
        <n v="35172.31"/>
        <n v="3000.83"/>
        <n v="3166.17"/>
        <n v="675.92"/>
        <n v="16464.9"/>
        <n v="23986.95"/>
        <n v="3256.07"/>
        <n v="11129.16"/>
        <n v="5457.56"/>
        <n v="11129.98"/>
        <n v="40799.93"/>
        <n v="3853.62"/>
        <n v="3226.73"/>
        <n v="5822.31"/>
        <n v="530.97"/>
        <n v="1962.68"/>
        <n v="330.0"/>
        <n v="3402.8"/>
        <n v="15676.25"/>
        <n v="29914.68"/>
        <n v="2786.63"/>
        <n v="2939.78"/>
        <n v="1959.19"/>
        <n v="3481.97"/>
        <n v="19249.2"/>
        <n v="10041.97"/>
        <n v="27479.94"/>
        <n v="1447.33"/>
        <n v="2953.07"/>
        <n v="31064.43"/>
        <n v="26629.19"/>
        <n v="11902.7"/>
        <n v="6143.73"/>
        <n v="28309.78"/>
        <n v="2523.86"/>
        <n v="22349.51"/>
        <n v="29186.94"/>
        <n v="904.1"/>
        <n v="26766.65"/>
        <n v="2794.22"/>
        <n v="3181.76"/>
        <n v="2989.6"/>
        <n v="31422.68"/>
        <n v="9159.91"/>
        <n v="1106.63"/>
        <n v="9705.9"/>
        <n v="483.4"/>
        <n v="7671.0"/>
        <n v="2505.12"/>
        <n v="1524.72"/>
        <n v="7162.43"/>
        <n v="19320.07"/>
        <n v="1523.01"/>
        <n v="870.14"/>
        <n v="2475.23"/>
        <n v="5887.23"/>
        <n v="7781.61"/>
        <n v="4937.68"/>
        <n v="7945.44"/>
        <n v="2170.82"/>
        <n v="2256.43"/>
        <n v="9259.32"/>
        <n v="1797.14"/>
        <n v="8856.32"/>
        <n v="23066.1"/>
        <n v="2569.44"/>
        <n v="7180.92"/>
        <n v="9390.15"/>
        <n v="2687.9"/>
        <n v="23157.97"/>
        <n v="475.25"/>
        <n v="9975.54"/>
        <n v="8502.38"/>
        <n v="8097.57"/>
        <n v="5963.8"/>
        <n v="30121.78"/>
        <n v="1466.6"/>
        <n v="24353.51"/>
        <n v="3580.16"/>
        <n v="10509.13"/>
        <n v="2865.49"/>
        <n v="10364.03"/>
        <n v="7263.26"/>
        <n v="1252.62"/>
        <n v="4694.55"/>
        <n v="2418.77"/>
        <n v="7228.38"/>
        <n v="6019.45"/>
        <n v="6589.8"/>
        <n v="4295.28"/>
        <n v="23793.25"/>
        <n v="10506.32"/>
        <n v="4148.06"/>
        <n v="28392.52"/>
        <n v="1341.45"/>
        <n v="8362.0"/>
        <n v="3359.3"/>
        <n v="20291.68"/>
        <n v="16697.13"/>
        <n v="11916.01"/>
        <n v="16414.43"/>
        <n v="11917.14"/>
        <n v="12917.13"/>
        <n v="9109.67"/>
        <n v="3120.41"/>
        <n v="24431.23"/>
        <n v="1201.6"/>
        <n v="14142.47"/>
        <n v="4871.42"/>
        <n v="24250.32"/>
        <n v="9507.95"/>
        <n v="8527.93"/>
        <n v="7178.54"/>
        <n v="8603.1"/>
        <n v="10670.73"/>
        <n v="2763.08"/>
        <n v="2486.08"/>
        <n v="8912.28"/>
        <n v="28407.62"/>
        <n v="23087.72"/>
        <n v="9543.3"/>
        <n v="6705.84"/>
        <n v="11516.62"/>
        <n v="31681.09"/>
        <n v="17576.96"/>
        <n v="2963.81"/>
        <n v="28913.05"/>
        <n v="2003.64"/>
        <n v="4348.26"/>
        <n v="4875.49"/>
        <n v="3262.64"/>
        <n v="15520.16"/>
        <n v="4716.65"/>
        <n v="1110.82"/>
        <n v="28391.36"/>
        <n v="3308.65"/>
        <n v="14366.56"/>
        <n v="29739.08"/>
        <n v="28089.41"/>
        <n v="1682.47"/>
        <n v="391.3"/>
        <n v="2742.26"/>
        <n v="6374.57"/>
        <n v="2854.7"/>
        <n v="14090.95"/>
        <n v="1163.51"/>
        <n v="40375.13"/>
        <n v="8015.71"/>
        <n v="592.34"/>
        <n v="923.35"/>
        <n v="21247.0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dataCaption="" compact="0" compactData="0">
  <location ref="A1:B5" firstHeaderRow="0" firstDataRow="1" firstDataCol="0"/>
  <pivotFields>
    <pivotField name="Order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ustomer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untry Code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ustomer Size" compact="0" outline="0" multipleItemSelectionAllowed="1" showAll="0">
      <items>
        <item x="0"/>
        <item x="1"/>
        <item x="2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</pivotFields>
  <rowFields>
    <field x="4"/>
  </rowFields>
  <dataFields>
    <dataField name="Revenue " fld="6" baseField="0"/>
  </dataFields>
</pivotTableDefinition>
</file>

<file path=xl/pivotTables/pivotTable2.xml><?xml version="1.0" encoding="utf-8"?>
<pivotTableDefinition xmlns="http://schemas.openxmlformats.org/spreadsheetml/2006/main" name="Pivot_Table 2" cacheId="0" dataCaption="" compact="0" compactData="0">
  <location ref="D1:E5" firstHeaderRow="0" firstDataRow="1" firstDataCol="0"/>
  <pivotFields>
    <pivotField name="Order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ustomer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untry Code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Customer Size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</pivotFields>
  <rowFields>
    <field x="5"/>
  </rowFields>
  <dataFields>
    <dataField name="Revenue" fld="6" baseField="0"/>
  </dataFields>
</pivotTableDefinition>
</file>

<file path=xl/pivotTables/pivotTable3.xml><?xml version="1.0" encoding="utf-8"?>
<pivotTableDefinition xmlns="http://schemas.openxmlformats.org/spreadsheetml/2006/main" name="Pivot_Table 3" cacheId="1" dataCaption="" compact="0" compactData="0">
  <location ref="A8:B21" firstHeaderRow="0" firstDataRow="1" firstDataCol="0"/>
  <pivotFields>
    <pivotField name="Order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Order Date" axis="axisRow" compact="0" outline="0" multipleItemSelectionAllowed="1" showAll="0" sortType="ascending">
      <items>
        <item x="259"/>
        <item x="262"/>
        <item x="245"/>
        <item x="276"/>
        <item x="270"/>
        <item x="88"/>
        <item x="198"/>
        <item x="137"/>
        <item x="85"/>
        <item x="178"/>
        <item x="184"/>
        <item x="157"/>
        <item x="210"/>
        <item x="246"/>
        <item x="6"/>
        <item x="232"/>
        <item x="86"/>
        <item x="138"/>
        <item x="3"/>
        <item x="179"/>
        <item x="153"/>
        <item x="205"/>
        <item x="107"/>
        <item x="116"/>
        <item x="201"/>
        <item x="144"/>
        <item x="298"/>
        <item x="186"/>
        <item x="68"/>
        <item x="135"/>
        <item x="169"/>
        <item x="110"/>
        <item x="170"/>
        <item x="221"/>
        <item x="133"/>
        <item x="152"/>
        <item x="61"/>
        <item x="108"/>
        <item x="75"/>
        <item x="146"/>
        <item x="261"/>
        <item x="208"/>
        <item x="118"/>
        <item x="134"/>
        <item x="114"/>
        <item x="253"/>
        <item x="249"/>
        <item x="288"/>
        <item x="141"/>
        <item x="65"/>
        <item x="82"/>
        <item x="190"/>
        <item x="250"/>
        <item x="150"/>
        <item x="78"/>
        <item x="216"/>
        <item x="206"/>
        <item x="41"/>
        <item x="149"/>
        <item x="260"/>
        <item x="229"/>
        <item x="287"/>
        <item x="161"/>
        <item x="212"/>
        <item x="109"/>
        <item x="151"/>
        <item x="293"/>
        <item x="22"/>
        <item x="92"/>
        <item x="8"/>
        <item x="47"/>
        <item x="155"/>
        <item x="168"/>
        <item x="98"/>
        <item x="64"/>
        <item x="28"/>
        <item x="265"/>
        <item x="121"/>
        <item x="123"/>
        <item x="187"/>
        <item x="50"/>
        <item x="228"/>
        <item x="59"/>
        <item x="286"/>
        <item x="62"/>
        <item x="277"/>
        <item x="72"/>
        <item x="281"/>
        <item x="193"/>
        <item x="10"/>
        <item x="119"/>
        <item x="128"/>
        <item x="77"/>
        <item x="269"/>
        <item x="254"/>
        <item x="158"/>
        <item x="244"/>
        <item x="56"/>
        <item x="19"/>
        <item x="176"/>
        <item x="295"/>
        <item x="182"/>
        <item x="12"/>
        <item x="220"/>
        <item x="101"/>
        <item x="131"/>
        <item x="218"/>
        <item x="89"/>
        <item x="54"/>
        <item x="160"/>
        <item x="214"/>
        <item x="207"/>
        <item x="283"/>
        <item x="52"/>
        <item x="266"/>
        <item x="159"/>
        <item x="156"/>
        <item x="240"/>
        <item x="2"/>
        <item x="66"/>
        <item x="167"/>
        <item x="43"/>
        <item x="34"/>
        <item x="14"/>
        <item x="100"/>
        <item x="96"/>
        <item x="117"/>
        <item x="97"/>
        <item x="234"/>
        <item x="106"/>
        <item x="95"/>
        <item x="49"/>
        <item x="268"/>
        <item x="237"/>
        <item x="284"/>
        <item x="177"/>
        <item x="174"/>
        <item x="32"/>
        <item x="33"/>
        <item x="16"/>
        <item x="188"/>
        <item x="273"/>
        <item x="60"/>
        <item x="23"/>
        <item x="164"/>
        <item x="139"/>
        <item x="289"/>
        <item x="7"/>
        <item x="242"/>
        <item x="294"/>
        <item x="191"/>
        <item x="0"/>
        <item x="297"/>
        <item x="143"/>
        <item x="57"/>
        <item x="219"/>
        <item x="275"/>
        <item x="129"/>
        <item x="222"/>
        <item x="296"/>
        <item x="223"/>
        <item x="213"/>
        <item x="163"/>
        <item x="42"/>
        <item x="264"/>
        <item x="84"/>
        <item x="173"/>
        <item x="120"/>
        <item x="125"/>
        <item x="11"/>
        <item x="79"/>
        <item x="45"/>
        <item x="87"/>
        <item x="94"/>
        <item x="83"/>
        <item x="27"/>
        <item x="175"/>
        <item x="81"/>
        <item x="243"/>
        <item x="185"/>
        <item x="194"/>
        <item x="154"/>
        <item x="256"/>
        <item x="235"/>
        <item x="102"/>
        <item x="103"/>
        <item x="132"/>
        <item x="38"/>
        <item x="51"/>
        <item x="30"/>
        <item x="104"/>
        <item x="111"/>
        <item x="215"/>
        <item x="115"/>
        <item x="225"/>
        <item x="224"/>
        <item x="239"/>
        <item x="142"/>
        <item x="195"/>
        <item x="99"/>
        <item x="257"/>
        <item x="140"/>
        <item x="197"/>
        <item x="272"/>
        <item x="40"/>
        <item x="20"/>
        <item x="255"/>
        <item x="248"/>
        <item x="25"/>
        <item x="274"/>
        <item x="44"/>
        <item x="5"/>
        <item x="172"/>
        <item x="136"/>
        <item x="279"/>
        <item x="124"/>
        <item x="181"/>
        <item x="73"/>
        <item x="105"/>
        <item x="238"/>
        <item x="280"/>
        <item x="74"/>
        <item x="196"/>
        <item x="247"/>
        <item x="226"/>
        <item x="71"/>
        <item x="112"/>
        <item x="13"/>
        <item x="93"/>
        <item x="69"/>
        <item x="292"/>
        <item x="130"/>
        <item x="35"/>
        <item x="227"/>
        <item x="299"/>
        <item x="76"/>
        <item x="233"/>
        <item x="263"/>
        <item x="15"/>
        <item x="48"/>
        <item x="90"/>
        <item x="37"/>
        <item x="148"/>
        <item x="204"/>
        <item x="236"/>
        <item x="267"/>
        <item x="122"/>
        <item x="29"/>
        <item x="241"/>
        <item x="55"/>
        <item x="211"/>
        <item x="80"/>
        <item x="282"/>
        <item x="39"/>
        <item x="9"/>
        <item x="17"/>
        <item x="171"/>
        <item x="200"/>
        <item x="53"/>
        <item x="58"/>
        <item x="70"/>
        <item x="251"/>
        <item x="113"/>
        <item x="189"/>
        <item x="4"/>
        <item x="252"/>
        <item x="180"/>
        <item x="18"/>
        <item x="162"/>
        <item x="166"/>
        <item x="231"/>
        <item x="21"/>
        <item x="63"/>
        <item x="271"/>
        <item x="203"/>
        <item x="290"/>
        <item x="230"/>
        <item x="278"/>
        <item x="165"/>
        <item x="258"/>
        <item x="126"/>
        <item x="127"/>
        <item x="46"/>
        <item x="147"/>
        <item x="285"/>
        <item x="199"/>
        <item x="192"/>
        <item x="31"/>
        <item x="24"/>
        <item x="202"/>
        <item x="67"/>
        <item x="183"/>
        <item x="36"/>
        <item x="209"/>
        <item x="145"/>
        <item x="91"/>
        <item x="217"/>
        <item x="291"/>
        <item x="26"/>
        <item h="1" x="1"/>
        <item t="default"/>
      </items>
    </pivotField>
    <pivotField name="Customer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untry Code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Customer Size" compact="0" outline="0" multipleItemSelectionAllowed="1" showAll="0">
      <items>
        <item x="0"/>
        <item x="1"/>
        <item x="2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</pivotFields>
  <rowFields>
    <field x="1"/>
  </rowFields>
  <dataFields>
    <dataField name="SUM of Revenue" fld="6" baseField="0"/>
  </dataFields>
</pivotTableDefinition>
</file>

<file path=xl/pivotTables/pivotTable4.xml><?xml version="1.0" encoding="utf-8"?>
<pivotTableDefinition xmlns="http://schemas.openxmlformats.org/spreadsheetml/2006/main" name="Pivot_Table 4" cacheId="0" dataCaption="" compact="0" compactData="0">
  <location ref="D8:E17" firstHeaderRow="0" firstDataRow="1" firstDataCol="0"/>
  <pivotFields>
    <pivotField name="Order ID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Customer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untry Code 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Customer Size" compact="0" outline="0" multipleItemSelectionAllowed="1" showAll="0">
      <items>
        <item x="0"/>
        <item x="1"/>
        <item x="2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</pivotFields>
  <rowFields>
    <field x="3"/>
  </rowFields>
  <dataFields>
    <dataField name="Revenu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4.88"/>
    <col customWidth="1" min="5" max="5" width="17.5"/>
    <col customWidth="1" min="6" max="6" width="19.25"/>
    <col customWidth="1" min="7" max="7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45572.0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306.58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  <c r="G3" s="1">
        <v>4353.36</v>
      </c>
    </row>
    <row r="4">
      <c r="A4" s="1" t="s">
        <v>16</v>
      </c>
      <c r="B4" s="2">
        <v>45519.0</v>
      </c>
      <c r="C4" s="1" t="s">
        <v>17</v>
      </c>
      <c r="D4" s="1" t="s">
        <v>18</v>
      </c>
      <c r="E4" s="1" t="s">
        <v>19</v>
      </c>
      <c r="F4" s="1" t="s">
        <v>11</v>
      </c>
    </row>
    <row r="5">
      <c r="A5" s="1" t="s">
        <v>20</v>
      </c>
      <c r="B5" s="2">
        <v>45321.0</v>
      </c>
      <c r="C5" s="1" t="s">
        <v>21</v>
      </c>
      <c r="D5" s="1" t="s">
        <v>22</v>
      </c>
      <c r="E5" s="1" t="s">
        <v>23</v>
      </c>
      <c r="F5" s="1" t="s">
        <v>11</v>
      </c>
      <c r="G5" s="1">
        <v>1685.44</v>
      </c>
    </row>
    <row r="6">
      <c r="A6" s="1" t="s">
        <v>24</v>
      </c>
      <c r="B6" s="2">
        <v>45771.0</v>
      </c>
      <c r="C6" s="1" t="s">
        <v>25</v>
      </c>
      <c r="D6" s="1" t="s">
        <v>26</v>
      </c>
      <c r="E6" s="1" t="s">
        <v>23</v>
      </c>
      <c r="F6" s="1" t="s">
        <v>15</v>
      </c>
      <c r="G6" s="1">
        <v>11996.33</v>
      </c>
    </row>
    <row r="7">
      <c r="A7" s="1" t="s">
        <v>27</v>
      </c>
      <c r="B7" s="2">
        <v>45674.0</v>
      </c>
      <c r="C7" s="1" t="s">
        <v>28</v>
      </c>
      <c r="D7" s="1" t="s">
        <v>29</v>
      </c>
      <c r="E7" s="1" t="s">
        <v>23</v>
      </c>
      <c r="F7" s="1" t="s">
        <v>11</v>
      </c>
      <c r="G7" s="1">
        <v>2913.04</v>
      </c>
    </row>
    <row r="8">
      <c r="A8" s="1" t="s">
        <v>30</v>
      </c>
      <c r="B8" s="2">
        <v>45313.0</v>
      </c>
      <c r="C8" s="1" t="s">
        <v>31</v>
      </c>
      <c r="D8" s="1" t="s">
        <v>32</v>
      </c>
      <c r="E8" s="1" t="s">
        <v>10</v>
      </c>
      <c r="F8" s="1" t="s">
        <v>33</v>
      </c>
      <c r="G8" s="1">
        <v>35412.77</v>
      </c>
    </row>
    <row r="9">
      <c r="A9" s="1" t="s">
        <v>34</v>
      </c>
      <c r="B9" s="2">
        <v>45563.0</v>
      </c>
      <c r="C9" s="1" t="s">
        <v>35</v>
      </c>
      <c r="D9" s="1" t="s">
        <v>36</v>
      </c>
      <c r="E9" s="1" t="s">
        <v>19</v>
      </c>
      <c r="F9" s="1" t="s">
        <v>33</v>
      </c>
      <c r="G9" s="1">
        <v>20575.8</v>
      </c>
    </row>
    <row r="10">
      <c r="A10" s="1" t="s">
        <v>37</v>
      </c>
      <c r="B10" s="2">
        <v>45422.0</v>
      </c>
      <c r="C10" s="1" t="s">
        <v>38</v>
      </c>
      <c r="D10" s="1" t="s">
        <v>39</v>
      </c>
      <c r="E10" s="1" t="s">
        <v>19</v>
      </c>
      <c r="F10" s="1" t="s">
        <v>11</v>
      </c>
      <c r="G10" s="1">
        <v>2676.39</v>
      </c>
    </row>
    <row r="11">
      <c r="A11" s="1" t="s">
        <v>40</v>
      </c>
      <c r="B11" s="2">
        <v>45751.0</v>
      </c>
      <c r="C11" s="1" t="s">
        <v>41</v>
      </c>
      <c r="D11" s="1" t="s">
        <v>42</v>
      </c>
      <c r="E11" s="1" t="s">
        <v>23</v>
      </c>
      <c r="F11" s="1" t="s">
        <v>11</v>
      </c>
      <c r="G11" s="1">
        <v>1684.85</v>
      </c>
    </row>
    <row r="12">
      <c r="A12" s="1" t="s">
        <v>43</v>
      </c>
      <c r="B12" s="2">
        <v>45463.0</v>
      </c>
      <c r="C12" s="1" t="s">
        <v>44</v>
      </c>
      <c r="D12" s="1" t="s">
        <v>36</v>
      </c>
      <c r="E12" s="1" t="s">
        <v>19</v>
      </c>
      <c r="F12" s="1" t="s">
        <v>15</v>
      </c>
      <c r="G12" s="1">
        <v>8499.56</v>
      </c>
    </row>
    <row r="13">
      <c r="A13" s="1" t="s">
        <v>45</v>
      </c>
      <c r="B13" s="2">
        <v>45602.0</v>
      </c>
      <c r="C13" s="1" t="s">
        <v>46</v>
      </c>
      <c r="D13" s="1" t="s">
        <v>47</v>
      </c>
      <c r="E13" s="1" t="s">
        <v>10</v>
      </c>
      <c r="F13" s="1" t="s">
        <v>33</v>
      </c>
      <c r="G13" s="1">
        <v>23617.89</v>
      </c>
    </row>
    <row r="14">
      <c r="A14" s="1" t="s">
        <v>48</v>
      </c>
      <c r="B14" s="3">
        <v>45572.0</v>
      </c>
      <c r="C14" s="1" t="s">
        <v>49</v>
      </c>
      <c r="D14" s="1" t="s">
        <v>50</v>
      </c>
      <c r="E14" s="1" t="s">
        <v>10</v>
      </c>
      <c r="F14" s="1" t="s">
        <v>15</v>
      </c>
      <c r="G14" s="1">
        <v>4262.97</v>
      </c>
    </row>
    <row r="15">
      <c r="A15" s="1" t="s">
        <v>51</v>
      </c>
      <c r="B15" s="2">
        <v>45702.0</v>
      </c>
      <c r="C15" s="1" t="s">
        <v>52</v>
      </c>
      <c r="D15" s="1" t="s">
        <v>42</v>
      </c>
      <c r="E15" s="1" t="s">
        <v>23</v>
      </c>
      <c r="F15" s="1" t="s">
        <v>15</v>
      </c>
      <c r="G15" s="1">
        <v>9752.79</v>
      </c>
    </row>
    <row r="16">
      <c r="A16" s="1" t="s">
        <v>53</v>
      </c>
      <c r="B16" s="2">
        <v>45527.0</v>
      </c>
      <c r="C16" s="1" t="s">
        <v>54</v>
      </c>
      <c r="D16" s="1" t="s">
        <v>55</v>
      </c>
      <c r="E16" s="1" t="s">
        <v>10</v>
      </c>
      <c r="F16" s="1" t="s">
        <v>15</v>
      </c>
      <c r="G16" s="1">
        <v>7788.27</v>
      </c>
    </row>
    <row r="17">
      <c r="A17" s="1" t="s">
        <v>56</v>
      </c>
      <c r="B17" s="2">
        <v>45717.0</v>
      </c>
      <c r="C17" s="1" t="s">
        <v>57</v>
      </c>
      <c r="D17" s="1" t="s">
        <v>22</v>
      </c>
      <c r="E17" s="1" t="s">
        <v>23</v>
      </c>
      <c r="F17" s="1" t="s">
        <v>11</v>
      </c>
      <c r="G17" s="1">
        <v>2864.96</v>
      </c>
    </row>
    <row r="18">
      <c r="A18" s="1" t="s">
        <v>58</v>
      </c>
      <c r="B18" s="2">
        <v>45549.0</v>
      </c>
      <c r="C18" s="1" t="s">
        <v>59</v>
      </c>
      <c r="D18" s="1" t="s">
        <v>36</v>
      </c>
      <c r="E18" s="1" t="s">
        <v>19</v>
      </c>
      <c r="F18" s="1" t="s">
        <v>15</v>
      </c>
      <c r="G18" s="1">
        <v>7960.7</v>
      </c>
    </row>
    <row r="19">
      <c r="A19" s="1" t="s">
        <v>60</v>
      </c>
      <c r="B19" s="2">
        <v>45752.0</v>
      </c>
      <c r="C19" s="1" t="s">
        <v>61</v>
      </c>
      <c r="D19" s="1" t="s">
        <v>62</v>
      </c>
      <c r="E19" s="1" t="s">
        <v>10</v>
      </c>
      <c r="F19" s="1" t="s">
        <v>11</v>
      </c>
      <c r="G19" s="1">
        <v>1340.76</v>
      </c>
    </row>
    <row r="20">
      <c r="A20" s="1" t="s">
        <v>63</v>
      </c>
      <c r="B20" s="2">
        <v>45778.0</v>
      </c>
      <c r="C20" s="1" t="s">
        <v>64</v>
      </c>
      <c r="D20" s="1" t="s">
        <v>65</v>
      </c>
      <c r="E20" s="1" t="s">
        <v>23</v>
      </c>
      <c r="F20" s="1" t="s">
        <v>11</v>
      </c>
      <c r="G20" s="1">
        <v>2675.96</v>
      </c>
    </row>
    <row r="21">
      <c r="A21" s="1" t="s">
        <v>66</v>
      </c>
      <c r="B21" s="2">
        <v>45478.0</v>
      </c>
      <c r="C21" s="1" t="s">
        <v>8</v>
      </c>
      <c r="D21" s="1" t="s">
        <v>32</v>
      </c>
      <c r="E21" s="1" t="s">
        <v>10</v>
      </c>
      <c r="F21" s="1" t="s">
        <v>11</v>
      </c>
      <c r="G21" s="1">
        <v>710.99</v>
      </c>
    </row>
    <row r="22">
      <c r="A22" s="1" t="s">
        <v>67</v>
      </c>
      <c r="B22" s="3">
        <v>45962.0</v>
      </c>
      <c r="C22" s="1" t="s">
        <v>38</v>
      </c>
      <c r="D22" s="1" t="s">
        <v>36</v>
      </c>
      <c r="E22" s="1" t="s">
        <v>19</v>
      </c>
      <c r="F22" s="1" t="s">
        <v>11</v>
      </c>
      <c r="G22" s="1">
        <v>1623.39</v>
      </c>
    </row>
    <row r="23">
      <c r="A23" s="1" t="s">
        <v>68</v>
      </c>
      <c r="B23" s="2">
        <v>45783.0</v>
      </c>
      <c r="C23" s="1" t="s">
        <v>69</v>
      </c>
      <c r="D23" s="1" t="s">
        <v>50</v>
      </c>
      <c r="E23" s="1" t="s">
        <v>10</v>
      </c>
      <c r="F23" s="1" t="s">
        <v>15</v>
      </c>
      <c r="G23" s="1">
        <v>10567.65</v>
      </c>
    </row>
    <row r="24">
      <c r="A24" s="1" t="s">
        <v>70</v>
      </c>
      <c r="B24" s="2">
        <v>45418.0</v>
      </c>
      <c r="C24" s="1" t="s">
        <v>71</v>
      </c>
      <c r="D24" s="1" t="s">
        <v>72</v>
      </c>
      <c r="E24" s="1" t="s">
        <v>19</v>
      </c>
      <c r="F24" s="1" t="s">
        <v>33</v>
      </c>
      <c r="G24" s="1">
        <v>16558.86</v>
      </c>
    </row>
    <row r="25">
      <c r="A25" s="1" t="s">
        <v>73</v>
      </c>
      <c r="B25" s="2">
        <v>45557.0</v>
      </c>
      <c r="C25" s="1" t="s">
        <v>74</v>
      </c>
      <c r="D25" s="1" t="s">
        <v>36</v>
      </c>
      <c r="E25" s="1" t="s">
        <v>19</v>
      </c>
      <c r="F25" s="1" t="s">
        <v>11</v>
      </c>
      <c r="G25" s="1">
        <v>1201.91</v>
      </c>
    </row>
    <row r="26">
      <c r="A26" s="1" t="s">
        <v>75</v>
      </c>
      <c r="B26" s="2">
        <v>45822.0</v>
      </c>
      <c r="C26" s="1" t="s">
        <v>54</v>
      </c>
      <c r="D26" s="1" t="s">
        <v>76</v>
      </c>
      <c r="E26" s="1" t="s">
        <v>10</v>
      </c>
      <c r="F26" s="1" t="s">
        <v>15</v>
      </c>
      <c r="G26" s="1">
        <v>5194.29</v>
      </c>
    </row>
    <row r="27">
      <c r="A27" s="1" t="s">
        <v>77</v>
      </c>
      <c r="B27" s="2">
        <v>45671.0</v>
      </c>
      <c r="C27" s="1" t="s">
        <v>78</v>
      </c>
      <c r="D27" s="1" t="s">
        <v>65</v>
      </c>
      <c r="E27" s="1" t="s">
        <v>23</v>
      </c>
      <c r="F27" s="1" t="s">
        <v>11</v>
      </c>
      <c r="G27" s="1">
        <v>1161.65</v>
      </c>
    </row>
    <row r="28">
      <c r="A28" s="1" t="s">
        <v>79</v>
      </c>
      <c r="B28" s="2">
        <v>45837.0</v>
      </c>
      <c r="C28" s="1" t="s">
        <v>71</v>
      </c>
      <c r="D28" s="1" t="s">
        <v>36</v>
      </c>
      <c r="E28" s="1" t="s">
        <v>19</v>
      </c>
      <c r="F28" s="1" t="s">
        <v>33</v>
      </c>
      <c r="G28" s="1">
        <v>39528.52</v>
      </c>
    </row>
    <row r="29">
      <c r="A29" s="1" t="s">
        <v>80</v>
      </c>
      <c r="B29" s="1" t="s">
        <v>81</v>
      </c>
      <c r="C29" s="1" t="s">
        <v>82</v>
      </c>
      <c r="D29" s="1" t="s">
        <v>39</v>
      </c>
      <c r="E29" s="1" t="s">
        <v>19</v>
      </c>
      <c r="F29" s="1" t="s">
        <v>33</v>
      </c>
      <c r="G29" s="1">
        <v>16152.37</v>
      </c>
    </row>
    <row r="30">
      <c r="A30" s="1" t="s">
        <v>83</v>
      </c>
      <c r="B30" s="1" t="s">
        <v>84</v>
      </c>
      <c r="C30" s="1" t="s">
        <v>61</v>
      </c>
      <c r="D30" s="1" t="s">
        <v>62</v>
      </c>
      <c r="E30" s="1" t="s">
        <v>10</v>
      </c>
      <c r="F30" s="1" t="s">
        <v>11</v>
      </c>
      <c r="G30" s="1">
        <v>2816.96</v>
      </c>
    </row>
    <row r="31">
      <c r="A31" s="1" t="s">
        <v>85</v>
      </c>
      <c r="B31" s="2">
        <v>45837.0</v>
      </c>
      <c r="C31" s="1" t="s">
        <v>82</v>
      </c>
      <c r="D31" s="1" t="s">
        <v>72</v>
      </c>
      <c r="E31" s="1" t="s">
        <v>19</v>
      </c>
      <c r="F31" s="1" t="s">
        <v>33</v>
      </c>
      <c r="G31" s="1">
        <v>37694.85</v>
      </c>
    </row>
    <row r="32">
      <c r="A32" s="1" t="s">
        <v>86</v>
      </c>
      <c r="B32" s="2">
        <v>45738.0</v>
      </c>
      <c r="C32" s="1" t="s">
        <v>87</v>
      </c>
      <c r="D32" s="1" t="s">
        <v>88</v>
      </c>
      <c r="E32" s="1" t="s">
        <v>10</v>
      </c>
      <c r="F32" s="1" t="s">
        <v>33</v>
      </c>
    </row>
    <row r="33">
      <c r="A33" s="1" t="s">
        <v>89</v>
      </c>
      <c r="B33" s="2">
        <v>45636.0</v>
      </c>
      <c r="C33" s="1" t="s">
        <v>90</v>
      </c>
      <c r="D33" s="1" t="s">
        <v>76</v>
      </c>
      <c r="E33" s="1" t="s">
        <v>10</v>
      </c>
      <c r="F33" s="1" t="s">
        <v>33</v>
      </c>
      <c r="G33" s="1">
        <v>27283.78</v>
      </c>
    </row>
    <row r="34">
      <c r="A34" s="1" t="s">
        <v>91</v>
      </c>
      <c r="B34" s="3">
        <v>45906.0</v>
      </c>
      <c r="C34" s="1" t="s">
        <v>38</v>
      </c>
      <c r="D34" s="1" t="s">
        <v>39</v>
      </c>
      <c r="E34" s="1" t="s">
        <v>19</v>
      </c>
      <c r="F34" s="1" t="s">
        <v>11</v>
      </c>
      <c r="G34" s="1">
        <v>2882.46</v>
      </c>
    </row>
    <row r="35">
      <c r="A35" s="1" t="s">
        <v>92</v>
      </c>
      <c r="B35" s="3">
        <v>45635.0</v>
      </c>
      <c r="C35" s="1" t="s">
        <v>14</v>
      </c>
      <c r="D35" s="1" t="s">
        <v>32</v>
      </c>
      <c r="E35" s="1" t="s">
        <v>10</v>
      </c>
      <c r="F35" s="1" t="s">
        <v>15</v>
      </c>
      <c r="G35" s="1">
        <v>10142.51</v>
      </c>
    </row>
    <row r="36">
      <c r="A36" s="1" t="s">
        <v>93</v>
      </c>
      <c r="B36" s="2">
        <v>45548.0</v>
      </c>
      <c r="C36" s="1" t="s">
        <v>69</v>
      </c>
      <c r="D36" s="1" t="s">
        <v>47</v>
      </c>
      <c r="E36" s="1" t="s">
        <v>10</v>
      </c>
      <c r="F36" s="1" t="s">
        <v>15</v>
      </c>
      <c r="G36" s="1">
        <v>8416.68</v>
      </c>
    </row>
    <row r="37">
      <c r="A37" s="1" t="s">
        <v>94</v>
      </c>
      <c r="B37" s="2">
        <v>45526.0</v>
      </c>
      <c r="C37" s="1" t="s">
        <v>95</v>
      </c>
      <c r="D37" s="1" t="s">
        <v>22</v>
      </c>
      <c r="E37" s="1" t="s">
        <v>23</v>
      </c>
      <c r="F37" s="1" t="s">
        <v>33</v>
      </c>
      <c r="G37" s="1">
        <v>29237.12</v>
      </c>
    </row>
    <row r="38">
      <c r="A38" s="1" t="s">
        <v>96</v>
      </c>
      <c r="B38" s="2">
        <v>45710.0</v>
      </c>
      <c r="C38" s="1" t="s">
        <v>97</v>
      </c>
      <c r="D38" s="1" t="s">
        <v>36</v>
      </c>
      <c r="E38" s="1" t="s">
        <v>19</v>
      </c>
      <c r="F38" s="1" t="s">
        <v>33</v>
      </c>
      <c r="G38" s="1">
        <v>23643.03</v>
      </c>
    </row>
    <row r="39">
      <c r="A39" s="1" t="s">
        <v>98</v>
      </c>
      <c r="B39" s="2">
        <v>45829.0</v>
      </c>
      <c r="C39" s="1" t="s">
        <v>59</v>
      </c>
      <c r="D39" s="1" t="s">
        <v>39</v>
      </c>
      <c r="E39" s="1" t="s">
        <v>19</v>
      </c>
      <c r="F39" s="1" t="s">
        <v>15</v>
      </c>
      <c r="G39" s="1">
        <v>5004.12</v>
      </c>
    </row>
    <row r="40">
      <c r="A40" s="1" t="s">
        <v>99</v>
      </c>
      <c r="B40" s="2">
        <v>45725.0</v>
      </c>
      <c r="C40" s="1" t="s">
        <v>14</v>
      </c>
      <c r="D40" s="1" t="s">
        <v>62</v>
      </c>
      <c r="E40" s="1" t="s">
        <v>10</v>
      </c>
      <c r="F40" s="1" t="s">
        <v>15</v>
      </c>
      <c r="G40" s="1">
        <v>8575.67</v>
      </c>
    </row>
    <row r="41">
      <c r="A41" s="1" t="s">
        <v>100</v>
      </c>
      <c r="B41" s="2">
        <v>45633.0</v>
      </c>
      <c r="C41" s="1" t="s">
        <v>41</v>
      </c>
      <c r="D41" s="1" t="s">
        <v>42</v>
      </c>
      <c r="E41" s="1" t="s">
        <v>23</v>
      </c>
      <c r="F41" s="1" t="s">
        <v>11</v>
      </c>
      <c r="G41" s="1">
        <v>1951.7</v>
      </c>
    </row>
    <row r="42">
      <c r="A42" s="1" t="s">
        <v>101</v>
      </c>
      <c r="B42" s="2">
        <v>45744.0</v>
      </c>
      <c r="C42" s="1" t="s">
        <v>17</v>
      </c>
      <c r="D42" s="1" t="s">
        <v>102</v>
      </c>
      <c r="E42" s="1" t="s">
        <v>19</v>
      </c>
      <c r="F42" s="1" t="s">
        <v>11</v>
      </c>
      <c r="G42" s="1">
        <v>2955.55</v>
      </c>
    </row>
    <row r="43">
      <c r="A43" s="1" t="s">
        <v>103</v>
      </c>
      <c r="B43" s="2">
        <v>45667.0</v>
      </c>
      <c r="C43" s="1" t="s">
        <v>104</v>
      </c>
      <c r="D43" s="1" t="s">
        <v>18</v>
      </c>
      <c r="E43" s="1" t="s">
        <v>19</v>
      </c>
      <c r="F43" s="1" t="s">
        <v>15</v>
      </c>
      <c r="G43" s="1">
        <v>7915.42</v>
      </c>
    </row>
    <row r="44">
      <c r="A44" s="1" t="s">
        <v>105</v>
      </c>
      <c r="B44" s="2">
        <v>45394.0</v>
      </c>
      <c r="C44" s="1" t="s">
        <v>106</v>
      </c>
      <c r="D44" s="1" t="s">
        <v>107</v>
      </c>
      <c r="E44" s="1" t="s">
        <v>23</v>
      </c>
      <c r="F44" s="1" t="s">
        <v>11</v>
      </c>
      <c r="G44" s="1">
        <v>380.98</v>
      </c>
    </row>
    <row r="45">
      <c r="A45" s="1" t="s">
        <v>108</v>
      </c>
      <c r="B45" s="1" t="s">
        <v>109</v>
      </c>
      <c r="C45" s="1" t="s">
        <v>90</v>
      </c>
      <c r="D45" s="1" t="s">
        <v>55</v>
      </c>
      <c r="E45" s="1" t="s">
        <v>10</v>
      </c>
      <c r="F45" s="1" t="s">
        <v>33</v>
      </c>
      <c r="G45" s="1">
        <v>18161.61</v>
      </c>
    </row>
    <row r="46">
      <c r="A46" s="1" t="s">
        <v>110</v>
      </c>
      <c r="B46" s="2">
        <v>45525.0</v>
      </c>
      <c r="C46" s="1" t="s">
        <v>111</v>
      </c>
      <c r="D46" s="1" t="s">
        <v>55</v>
      </c>
      <c r="E46" s="1" t="s">
        <v>10</v>
      </c>
      <c r="F46" s="1" t="s">
        <v>33</v>
      </c>
      <c r="G46" s="1">
        <v>33648.31</v>
      </c>
    </row>
    <row r="47">
      <c r="A47" s="1" t="s">
        <v>112</v>
      </c>
      <c r="B47" s="1" t="s">
        <v>113</v>
      </c>
      <c r="C47" s="1" t="s">
        <v>114</v>
      </c>
      <c r="D47" s="1" t="s">
        <v>115</v>
      </c>
      <c r="E47" s="1" t="s">
        <v>10</v>
      </c>
      <c r="F47" s="1" t="s">
        <v>15</v>
      </c>
      <c r="G47" s="1">
        <v>9913.66</v>
      </c>
    </row>
    <row r="48">
      <c r="A48" s="1" t="s">
        <v>116</v>
      </c>
      <c r="B48" s="2">
        <v>45673.0</v>
      </c>
      <c r="C48" s="1" t="s">
        <v>117</v>
      </c>
      <c r="D48" s="1" t="s">
        <v>32</v>
      </c>
      <c r="E48" s="1" t="s">
        <v>10</v>
      </c>
      <c r="F48" s="1" t="s">
        <v>11</v>
      </c>
      <c r="G48" s="1">
        <v>2741.0</v>
      </c>
    </row>
    <row r="49">
      <c r="A49" s="1" t="s">
        <v>118</v>
      </c>
      <c r="B49" s="2">
        <v>45605.0</v>
      </c>
      <c r="C49" s="1" t="s">
        <v>28</v>
      </c>
      <c r="D49" s="1" t="s">
        <v>22</v>
      </c>
      <c r="E49" s="1" t="s">
        <v>23</v>
      </c>
      <c r="F49" s="1" t="s">
        <v>11</v>
      </c>
      <c r="G49" s="1">
        <v>740.04</v>
      </c>
    </row>
    <row r="50">
      <c r="A50" s="1" t="s">
        <v>119</v>
      </c>
      <c r="B50" s="2">
        <v>45803.0</v>
      </c>
      <c r="C50" s="1" t="s">
        <v>120</v>
      </c>
      <c r="D50" s="1" t="s">
        <v>102</v>
      </c>
      <c r="E50" s="1" t="s">
        <v>19</v>
      </c>
      <c r="F50" s="1" t="s">
        <v>11</v>
      </c>
      <c r="G50" s="1">
        <v>2895.75</v>
      </c>
    </row>
    <row r="51">
      <c r="A51" s="1" t="s">
        <v>121</v>
      </c>
      <c r="B51" s="2">
        <v>45667.0</v>
      </c>
      <c r="C51" s="1" t="s">
        <v>59</v>
      </c>
      <c r="D51" s="1" t="s">
        <v>72</v>
      </c>
      <c r="E51" s="1" t="s">
        <v>19</v>
      </c>
      <c r="F51" s="1" t="s">
        <v>15</v>
      </c>
      <c r="G51" s="1">
        <v>3453.29</v>
      </c>
    </row>
    <row r="52">
      <c r="A52" s="1" t="s">
        <v>122</v>
      </c>
      <c r="B52" s="2">
        <v>45425.0</v>
      </c>
      <c r="C52" s="1" t="s">
        <v>78</v>
      </c>
      <c r="D52" s="1" t="s">
        <v>22</v>
      </c>
      <c r="E52" s="1" t="s">
        <v>23</v>
      </c>
      <c r="F52" s="1" t="s">
        <v>11</v>
      </c>
      <c r="G52" s="1">
        <v>1410.85</v>
      </c>
    </row>
    <row r="53">
      <c r="A53" s="1" t="s">
        <v>123</v>
      </c>
      <c r="B53" s="2">
        <v>45719.0</v>
      </c>
      <c r="C53" s="1" t="s">
        <v>35</v>
      </c>
      <c r="D53" s="1" t="s">
        <v>39</v>
      </c>
      <c r="E53" s="1" t="s">
        <v>19</v>
      </c>
      <c r="F53" s="1" t="s">
        <v>33</v>
      </c>
      <c r="G53" s="1">
        <v>35985.64</v>
      </c>
    </row>
    <row r="54">
      <c r="A54" s="1" t="s">
        <v>124</v>
      </c>
      <c r="B54" s="2">
        <v>45535.0</v>
      </c>
      <c r="C54" s="1" t="s">
        <v>125</v>
      </c>
      <c r="D54" s="1" t="s">
        <v>65</v>
      </c>
      <c r="E54" s="1" t="s">
        <v>23</v>
      </c>
      <c r="F54" s="1" t="s">
        <v>15</v>
      </c>
      <c r="G54" s="1">
        <v>4281.26</v>
      </c>
    </row>
    <row r="55">
      <c r="A55" s="1" t="s">
        <v>126</v>
      </c>
      <c r="B55" s="2">
        <v>45446.0</v>
      </c>
      <c r="C55" s="1" t="s">
        <v>28</v>
      </c>
      <c r="D55" s="1" t="s">
        <v>22</v>
      </c>
      <c r="E55" s="1" t="s">
        <v>23</v>
      </c>
      <c r="F55" s="1" t="s">
        <v>11</v>
      </c>
      <c r="G55" s="1">
        <v>2520.3</v>
      </c>
    </row>
    <row r="56">
      <c r="A56" s="1" t="s">
        <v>127</v>
      </c>
      <c r="B56" s="2">
        <v>45635.0</v>
      </c>
      <c r="C56" s="1" t="s">
        <v>128</v>
      </c>
      <c r="D56" s="1" t="s">
        <v>18</v>
      </c>
      <c r="E56" s="1" t="s">
        <v>19</v>
      </c>
      <c r="F56" s="1" t="s">
        <v>15</v>
      </c>
      <c r="G56" s="1">
        <v>4606.31</v>
      </c>
    </row>
    <row r="57">
      <c r="A57" s="1" t="s">
        <v>129</v>
      </c>
      <c r="B57" s="2">
        <v>45510.0</v>
      </c>
      <c r="C57" s="1" t="s">
        <v>44</v>
      </c>
      <c r="D57" s="1" t="s">
        <v>72</v>
      </c>
      <c r="E57" s="1" t="s">
        <v>19</v>
      </c>
      <c r="F57" s="1" t="s">
        <v>15</v>
      </c>
      <c r="G57" s="1">
        <v>2969.74</v>
      </c>
    </row>
    <row r="58">
      <c r="A58" s="1" t="s">
        <v>130</v>
      </c>
      <c r="B58" s="2">
        <v>45755.0</v>
      </c>
      <c r="C58" s="1" t="s">
        <v>131</v>
      </c>
      <c r="D58" s="1" t="s">
        <v>36</v>
      </c>
      <c r="E58" s="1" t="s">
        <v>19</v>
      </c>
      <c r="F58" s="1" t="s">
        <v>11</v>
      </c>
      <c r="G58" s="1">
        <v>1083.23</v>
      </c>
    </row>
    <row r="59">
      <c r="A59" s="1" t="s">
        <v>132</v>
      </c>
      <c r="B59" s="1" t="s">
        <v>113</v>
      </c>
      <c r="C59" s="1" t="s">
        <v>133</v>
      </c>
      <c r="D59" s="1" t="s">
        <v>29</v>
      </c>
      <c r="E59" s="1" t="s">
        <v>23</v>
      </c>
      <c r="F59" s="1" t="s">
        <v>11</v>
      </c>
      <c r="G59" s="1">
        <v>1980.07</v>
      </c>
    </row>
    <row r="60">
      <c r="A60" s="1" t="s">
        <v>134</v>
      </c>
      <c r="B60" s="2">
        <v>45498.0</v>
      </c>
      <c r="C60" s="1" t="s">
        <v>59</v>
      </c>
      <c r="D60" s="1" t="s">
        <v>39</v>
      </c>
      <c r="E60" s="1" t="s">
        <v>19</v>
      </c>
      <c r="F60" s="1" t="s">
        <v>15</v>
      </c>
      <c r="G60" s="1">
        <v>7437.14</v>
      </c>
    </row>
    <row r="61">
      <c r="A61" s="1" t="s">
        <v>135</v>
      </c>
      <c r="B61" s="2">
        <v>45740.0</v>
      </c>
      <c r="C61" s="1" t="s">
        <v>128</v>
      </c>
      <c r="D61" s="1" t="s">
        <v>102</v>
      </c>
      <c r="E61" s="1" t="s">
        <v>19</v>
      </c>
      <c r="F61" s="1" t="s">
        <v>15</v>
      </c>
      <c r="G61" s="1">
        <v>4945.43</v>
      </c>
    </row>
    <row r="62">
      <c r="A62" s="1" t="s">
        <v>136</v>
      </c>
      <c r="B62" s="1" t="s">
        <v>137</v>
      </c>
      <c r="C62" s="1" t="s">
        <v>69</v>
      </c>
      <c r="D62" s="1" t="s">
        <v>115</v>
      </c>
      <c r="E62" s="1" t="s">
        <v>10</v>
      </c>
      <c r="F62" s="1" t="s">
        <v>15</v>
      </c>
      <c r="G62" s="1">
        <v>7407.41</v>
      </c>
    </row>
    <row r="63">
      <c r="A63" s="1" t="s">
        <v>138</v>
      </c>
      <c r="B63" s="2">
        <v>45476.0</v>
      </c>
      <c r="C63" s="1" t="s">
        <v>139</v>
      </c>
      <c r="D63" s="1" t="s">
        <v>72</v>
      </c>
      <c r="E63" s="1" t="s">
        <v>19</v>
      </c>
      <c r="F63" s="1" t="s">
        <v>33</v>
      </c>
      <c r="G63" s="1">
        <v>17910.97</v>
      </c>
    </row>
    <row r="64">
      <c r="A64" s="1" t="s">
        <v>140</v>
      </c>
      <c r="B64" s="2">
        <v>45576.0</v>
      </c>
      <c r="C64" s="1" t="s">
        <v>141</v>
      </c>
      <c r="D64" s="1" t="s">
        <v>62</v>
      </c>
      <c r="E64" s="1" t="s">
        <v>10</v>
      </c>
      <c r="F64" s="1" t="s">
        <v>33</v>
      </c>
      <c r="G64" s="1">
        <v>11829.28</v>
      </c>
    </row>
    <row r="65">
      <c r="A65" s="1" t="s">
        <v>142</v>
      </c>
      <c r="B65" s="2">
        <v>45760.0</v>
      </c>
      <c r="C65" s="1" t="s">
        <v>44</v>
      </c>
      <c r="D65" s="1" t="s">
        <v>39</v>
      </c>
      <c r="E65" s="1" t="s">
        <v>19</v>
      </c>
      <c r="F65" s="1" t="s">
        <v>15</v>
      </c>
      <c r="G65" s="1">
        <v>4776.12</v>
      </c>
    </row>
    <row r="66">
      <c r="A66" s="1" t="s">
        <v>143</v>
      </c>
      <c r="B66" s="2">
        <v>45452.0</v>
      </c>
      <c r="C66" s="1" t="s">
        <v>78</v>
      </c>
      <c r="D66" s="1" t="s">
        <v>22</v>
      </c>
      <c r="E66" s="1" t="s">
        <v>23</v>
      </c>
      <c r="F66" s="1" t="s">
        <v>11</v>
      </c>
      <c r="G66" s="1">
        <v>2033.52</v>
      </c>
    </row>
    <row r="67">
      <c r="A67" s="1" t="s">
        <v>144</v>
      </c>
      <c r="B67" s="2">
        <v>45556.0</v>
      </c>
      <c r="C67" s="1" t="s">
        <v>17</v>
      </c>
      <c r="D67" s="1" t="s">
        <v>102</v>
      </c>
      <c r="E67" s="1" t="s">
        <v>19</v>
      </c>
      <c r="F67" s="1" t="s">
        <v>11</v>
      </c>
      <c r="G67" s="1">
        <v>422.56</v>
      </c>
    </row>
    <row r="68">
      <c r="A68" s="1" t="s">
        <v>145</v>
      </c>
      <c r="B68" s="2">
        <v>45352.0</v>
      </c>
      <c r="C68" s="1" t="s">
        <v>41</v>
      </c>
      <c r="D68" s="1" t="s">
        <v>42</v>
      </c>
      <c r="E68" s="1" t="s">
        <v>23</v>
      </c>
      <c r="F68" s="1" t="s">
        <v>11</v>
      </c>
      <c r="G68" s="1">
        <v>1377.24</v>
      </c>
    </row>
    <row r="69">
      <c r="A69" s="1" t="s">
        <v>146</v>
      </c>
      <c r="C69" s="1" t="s">
        <v>147</v>
      </c>
      <c r="D69" s="1" t="s">
        <v>36</v>
      </c>
      <c r="E69" s="1" t="s">
        <v>19</v>
      </c>
      <c r="F69" s="1" t="s">
        <v>33</v>
      </c>
      <c r="G69" s="1">
        <v>36783.32</v>
      </c>
    </row>
    <row r="70">
      <c r="A70" s="1" t="s">
        <v>148</v>
      </c>
      <c r="B70" s="1" t="s">
        <v>149</v>
      </c>
      <c r="C70" s="1" t="s">
        <v>131</v>
      </c>
      <c r="D70" s="1" t="s">
        <v>39</v>
      </c>
      <c r="E70" s="1" t="s">
        <v>19</v>
      </c>
      <c r="F70" s="1" t="s">
        <v>11</v>
      </c>
      <c r="G70" s="1">
        <v>2066.58</v>
      </c>
    </row>
    <row r="71">
      <c r="A71" s="1" t="s">
        <v>150</v>
      </c>
      <c r="B71" s="2">
        <v>45456.0</v>
      </c>
      <c r="C71" s="1" t="s">
        <v>35</v>
      </c>
      <c r="D71" s="1" t="s">
        <v>72</v>
      </c>
      <c r="E71" s="1" t="s">
        <v>19</v>
      </c>
      <c r="F71" s="1" t="s">
        <v>33</v>
      </c>
      <c r="G71" s="1">
        <v>8522.51</v>
      </c>
    </row>
    <row r="72">
      <c r="A72" s="1" t="s">
        <v>151</v>
      </c>
      <c r="B72" s="2">
        <v>45785.0</v>
      </c>
      <c r="C72" s="1" t="s">
        <v>90</v>
      </c>
      <c r="D72" s="1" t="s">
        <v>88</v>
      </c>
      <c r="E72" s="1" t="s">
        <v>10</v>
      </c>
      <c r="F72" s="1" t="s">
        <v>33</v>
      </c>
      <c r="G72" s="1">
        <v>32674.33</v>
      </c>
    </row>
    <row r="73">
      <c r="A73" s="1" t="s">
        <v>152</v>
      </c>
      <c r="B73" s="1" t="s">
        <v>153</v>
      </c>
      <c r="C73" s="1" t="s">
        <v>154</v>
      </c>
      <c r="D73" s="1" t="s">
        <v>9</v>
      </c>
      <c r="E73" s="1" t="s">
        <v>10</v>
      </c>
      <c r="F73" s="1" t="s">
        <v>33</v>
      </c>
      <c r="G73" s="1">
        <v>17547.54</v>
      </c>
    </row>
    <row r="74">
      <c r="A74" s="1" t="s">
        <v>155</v>
      </c>
      <c r="B74" s="1" t="s">
        <v>156</v>
      </c>
      <c r="C74" s="1" t="s">
        <v>90</v>
      </c>
      <c r="D74" s="1" t="s">
        <v>88</v>
      </c>
      <c r="E74" s="1" t="s">
        <v>10</v>
      </c>
      <c r="F74" s="1" t="s">
        <v>33</v>
      </c>
      <c r="G74" s="1">
        <v>26218.25</v>
      </c>
    </row>
    <row r="75">
      <c r="A75" s="1" t="s">
        <v>157</v>
      </c>
      <c r="B75" s="2">
        <v>45380.0</v>
      </c>
      <c r="C75" s="1" t="s">
        <v>44</v>
      </c>
      <c r="D75" s="1" t="s">
        <v>36</v>
      </c>
      <c r="E75" s="1" t="s">
        <v>19</v>
      </c>
      <c r="F75" s="1" t="s">
        <v>15</v>
      </c>
      <c r="G75" s="1">
        <v>7903.69</v>
      </c>
    </row>
    <row r="76">
      <c r="A76" s="1" t="s">
        <v>158</v>
      </c>
      <c r="B76" s="2">
        <v>45520.0</v>
      </c>
      <c r="C76" s="1" t="s">
        <v>159</v>
      </c>
      <c r="D76" s="1" t="s">
        <v>72</v>
      </c>
      <c r="E76" s="1" t="s">
        <v>19</v>
      </c>
      <c r="F76" s="1" t="s">
        <v>11</v>
      </c>
      <c r="G76" s="1">
        <v>1182.01</v>
      </c>
    </row>
    <row r="77">
      <c r="A77" s="1" t="s">
        <v>160</v>
      </c>
      <c r="B77" s="2">
        <v>45826.0</v>
      </c>
      <c r="C77" s="1" t="s">
        <v>111</v>
      </c>
      <c r="D77" s="1" t="s">
        <v>88</v>
      </c>
      <c r="E77" s="1" t="s">
        <v>10</v>
      </c>
      <c r="F77" s="1" t="s">
        <v>33</v>
      </c>
      <c r="G77" s="1">
        <v>39489.73</v>
      </c>
    </row>
    <row r="78">
      <c r="A78" s="1" t="s">
        <v>161</v>
      </c>
      <c r="B78" s="2">
        <v>45340.0</v>
      </c>
      <c r="C78" s="1" t="s">
        <v>162</v>
      </c>
      <c r="D78" s="1" t="s">
        <v>102</v>
      </c>
      <c r="E78" s="1" t="s">
        <v>19</v>
      </c>
      <c r="F78" s="1" t="s">
        <v>33</v>
      </c>
      <c r="G78" s="1">
        <v>40969.5</v>
      </c>
    </row>
    <row r="79">
      <c r="A79" s="1" t="s">
        <v>163</v>
      </c>
      <c r="B79" s="1" t="s">
        <v>164</v>
      </c>
      <c r="C79" s="1" t="s">
        <v>14</v>
      </c>
      <c r="D79" s="1" t="s">
        <v>32</v>
      </c>
      <c r="E79" s="1" t="s">
        <v>10</v>
      </c>
      <c r="F79" s="1" t="s">
        <v>15</v>
      </c>
      <c r="G79" s="1">
        <v>6863.73</v>
      </c>
    </row>
    <row r="80">
      <c r="A80" s="1" t="s">
        <v>165</v>
      </c>
      <c r="B80" s="2">
        <v>45764.0</v>
      </c>
      <c r="C80" s="1" t="s">
        <v>57</v>
      </c>
      <c r="D80" s="1" t="s">
        <v>22</v>
      </c>
      <c r="E80" s="1" t="s">
        <v>23</v>
      </c>
      <c r="F80" s="1" t="s">
        <v>11</v>
      </c>
      <c r="G80" s="1">
        <v>3368.18</v>
      </c>
    </row>
    <row r="81">
      <c r="A81" s="1" t="s">
        <v>166</v>
      </c>
      <c r="B81" s="2">
        <v>45483.0</v>
      </c>
      <c r="C81" s="1" t="s">
        <v>167</v>
      </c>
      <c r="D81" s="1" t="s">
        <v>26</v>
      </c>
      <c r="E81" s="1" t="s">
        <v>23</v>
      </c>
      <c r="F81" s="1" t="s">
        <v>15</v>
      </c>
      <c r="G81" s="1">
        <v>6296.03</v>
      </c>
    </row>
    <row r="82">
      <c r="A82" s="1" t="s">
        <v>168</v>
      </c>
      <c r="B82" s="1" t="s">
        <v>169</v>
      </c>
      <c r="C82" s="1" t="s">
        <v>69</v>
      </c>
      <c r="D82" s="1" t="s">
        <v>50</v>
      </c>
      <c r="E82" s="1" t="s">
        <v>10</v>
      </c>
      <c r="F82" s="1" t="s">
        <v>15</v>
      </c>
      <c r="G82" s="1">
        <v>7877.92</v>
      </c>
    </row>
    <row r="83">
      <c r="A83" s="1" t="s">
        <v>170</v>
      </c>
      <c r="B83" s="2">
        <v>45700.0</v>
      </c>
      <c r="C83" s="1" t="s">
        <v>106</v>
      </c>
      <c r="D83" s="1" t="s">
        <v>171</v>
      </c>
      <c r="E83" s="1" t="s">
        <v>23</v>
      </c>
      <c r="F83" s="1" t="s">
        <v>11</v>
      </c>
      <c r="G83" s="1">
        <v>2802.03</v>
      </c>
    </row>
    <row r="84">
      <c r="A84" s="1" t="s">
        <v>172</v>
      </c>
      <c r="B84" s="2">
        <v>45458.0</v>
      </c>
      <c r="C84" s="1" t="s">
        <v>31</v>
      </c>
      <c r="D84" s="1" t="s">
        <v>62</v>
      </c>
      <c r="E84" s="1" t="s">
        <v>10</v>
      </c>
      <c r="F84" s="1" t="s">
        <v>33</v>
      </c>
      <c r="G84" s="1">
        <v>12114.85</v>
      </c>
    </row>
    <row r="85">
      <c r="A85" s="1" t="s">
        <v>173</v>
      </c>
      <c r="B85" s="2">
        <v>45463.0</v>
      </c>
      <c r="C85" s="1" t="s">
        <v>174</v>
      </c>
      <c r="D85" s="1" t="s">
        <v>26</v>
      </c>
      <c r="E85" s="1" t="s">
        <v>23</v>
      </c>
      <c r="F85" s="1" t="s">
        <v>33</v>
      </c>
      <c r="G85" s="1">
        <v>10427.6</v>
      </c>
    </row>
    <row r="86">
      <c r="A86" s="1" t="s">
        <v>175</v>
      </c>
      <c r="B86" s="2">
        <v>45685.0</v>
      </c>
      <c r="C86" s="1" t="s">
        <v>17</v>
      </c>
      <c r="D86" s="1" t="s">
        <v>176</v>
      </c>
      <c r="E86" s="1" t="s">
        <v>19</v>
      </c>
      <c r="F86" s="1" t="s">
        <v>11</v>
      </c>
      <c r="G86" s="1">
        <v>692.2</v>
      </c>
    </row>
    <row r="87">
      <c r="A87" s="1" t="s">
        <v>177</v>
      </c>
      <c r="B87" s="2">
        <v>45693.0</v>
      </c>
      <c r="C87" s="1" t="s">
        <v>178</v>
      </c>
      <c r="D87" s="1" t="s">
        <v>88</v>
      </c>
      <c r="E87" s="1" t="s">
        <v>10</v>
      </c>
      <c r="F87" s="1" t="s">
        <v>33</v>
      </c>
      <c r="G87" s="1">
        <v>13352.6</v>
      </c>
    </row>
    <row r="88">
      <c r="A88" s="1" t="s">
        <v>179</v>
      </c>
      <c r="B88" s="2">
        <v>45354.0</v>
      </c>
      <c r="C88" s="1" t="s">
        <v>131</v>
      </c>
      <c r="D88" s="1" t="s">
        <v>72</v>
      </c>
      <c r="E88" s="1" t="s">
        <v>19</v>
      </c>
      <c r="F88" s="1" t="s">
        <v>11</v>
      </c>
      <c r="G88" s="1">
        <v>2087.18</v>
      </c>
    </row>
    <row r="89">
      <c r="A89" s="1" t="s">
        <v>180</v>
      </c>
      <c r="B89" s="2">
        <v>45714.0</v>
      </c>
      <c r="C89" s="1" t="s">
        <v>181</v>
      </c>
      <c r="D89" s="1" t="s">
        <v>36</v>
      </c>
      <c r="E89" s="1" t="s">
        <v>19</v>
      </c>
      <c r="F89" s="1" t="s">
        <v>15</v>
      </c>
      <c r="G89" s="1">
        <v>6900.64</v>
      </c>
    </row>
    <row r="90">
      <c r="A90" s="1" t="s">
        <v>182</v>
      </c>
      <c r="B90" s="2">
        <v>45468.0</v>
      </c>
      <c r="C90" s="1" t="s">
        <v>183</v>
      </c>
      <c r="D90" s="1" t="s">
        <v>184</v>
      </c>
      <c r="E90" s="1" t="s">
        <v>23</v>
      </c>
      <c r="F90" s="1" t="s">
        <v>33</v>
      </c>
      <c r="G90" s="1">
        <v>41781.18</v>
      </c>
    </row>
    <row r="91">
      <c r="A91" s="1" t="s">
        <v>185</v>
      </c>
      <c r="B91" s="2">
        <v>45386.0</v>
      </c>
      <c r="C91" s="1" t="s">
        <v>186</v>
      </c>
      <c r="D91" s="1" t="s">
        <v>36</v>
      </c>
      <c r="E91" s="1" t="s">
        <v>19</v>
      </c>
      <c r="F91" s="1" t="s">
        <v>33</v>
      </c>
      <c r="G91" s="1">
        <v>8103.83</v>
      </c>
    </row>
    <row r="92">
      <c r="A92" s="1" t="s">
        <v>187</v>
      </c>
      <c r="B92" s="2">
        <v>45604.0</v>
      </c>
      <c r="C92" s="1" t="s">
        <v>188</v>
      </c>
      <c r="D92" s="1" t="s">
        <v>50</v>
      </c>
      <c r="E92" s="1" t="s">
        <v>10</v>
      </c>
      <c r="F92" s="1" t="s">
        <v>11</v>
      </c>
      <c r="G92" s="1">
        <v>3379.14</v>
      </c>
    </row>
    <row r="93">
      <c r="A93" s="1" t="s">
        <v>189</v>
      </c>
      <c r="B93" s="2">
        <v>45742.0</v>
      </c>
      <c r="C93" s="1" t="s">
        <v>35</v>
      </c>
      <c r="D93" s="1" t="s">
        <v>72</v>
      </c>
      <c r="E93" s="1" t="s">
        <v>19</v>
      </c>
      <c r="F93" s="1" t="s">
        <v>33</v>
      </c>
      <c r="G93" s="1">
        <v>16518.64</v>
      </c>
    </row>
    <row r="94">
      <c r="A94" s="1" t="s">
        <v>190</v>
      </c>
      <c r="B94" s="2">
        <v>45616.0</v>
      </c>
      <c r="C94" s="1" t="s">
        <v>61</v>
      </c>
      <c r="D94" s="1" t="s">
        <v>32</v>
      </c>
      <c r="E94" s="1" t="s">
        <v>10</v>
      </c>
      <c r="F94" s="1" t="s">
        <v>11</v>
      </c>
      <c r="G94" s="1">
        <v>1475.97</v>
      </c>
    </row>
    <row r="95">
      <c r="A95" s="1" t="s">
        <v>191</v>
      </c>
      <c r="B95" s="2">
        <v>45381.0</v>
      </c>
      <c r="C95" s="1" t="s">
        <v>192</v>
      </c>
      <c r="D95" s="1" t="s">
        <v>42</v>
      </c>
      <c r="E95" s="1" t="s">
        <v>23</v>
      </c>
      <c r="F95" s="1" t="s">
        <v>11</v>
      </c>
      <c r="G95" s="1">
        <v>3148.45</v>
      </c>
    </row>
    <row r="96">
      <c r="A96" s="1" t="s">
        <v>193</v>
      </c>
      <c r="B96" s="2">
        <v>45611.0</v>
      </c>
      <c r="C96" s="1" t="s">
        <v>139</v>
      </c>
      <c r="D96" s="1" t="s">
        <v>39</v>
      </c>
      <c r="E96" s="1" t="s">
        <v>19</v>
      </c>
      <c r="F96" s="1" t="s">
        <v>33</v>
      </c>
      <c r="G96" s="1">
        <v>29918.46</v>
      </c>
    </row>
    <row r="97">
      <c r="A97" s="1" t="s">
        <v>194</v>
      </c>
      <c r="B97" s="2">
        <v>45595.0</v>
      </c>
      <c r="C97" s="1" t="s">
        <v>181</v>
      </c>
      <c r="D97" s="1" t="s">
        <v>72</v>
      </c>
      <c r="E97" s="1" t="s">
        <v>19</v>
      </c>
      <c r="F97" s="1" t="s">
        <v>15</v>
      </c>
      <c r="G97" s="1">
        <v>4040.65</v>
      </c>
    </row>
    <row r="98">
      <c r="A98" s="1" t="s">
        <v>195</v>
      </c>
      <c r="B98" s="2">
        <v>45304.0</v>
      </c>
      <c r="C98" s="1" t="s">
        <v>196</v>
      </c>
      <c r="D98" s="1" t="s">
        <v>76</v>
      </c>
      <c r="E98" s="1" t="s">
        <v>10</v>
      </c>
      <c r="F98" s="1" t="s">
        <v>15</v>
      </c>
      <c r="G98" s="1">
        <v>4055.3</v>
      </c>
    </row>
    <row r="99">
      <c r="A99" s="1" t="s">
        <v>197</v>
      </c>
      <c r="B99" s="1" t="s">
        <v>198</v>
      </c>
      <c r="C99" s="1" t="s">
        <v>199</v>
      </c>
      <c r="D99" s="1" t="s">
        <v>9</v>
      </c>
      <c r="E99" s="1" t="s">
        <v>10</v>
      </c>
      <c r="F99" s="1" t="s">
        <v>33</v>
      </c>
      <c r="G99" s="1">
        <v>34045.42</v>
      </c>
    </row>
    <row r="100">
      <c r="A100" s="1" t="s">
        <v>200</v>
      </c>
      <c r="B100" s="2">
        <v>45606.0</v>
      </c>
      <c r="C100" s="1" t="s">
        <v>28</v>
      </c>
      <c r="D100" s="1" t="s">
        <v>65</v>
      </c>
      <c r="E100" s="1" t="s">
        <v>23</v>
      </c>
      <c r="F100" s="1" t="s">
        <v>11</v>
      </c>
      <c r="G100" s="1">
        <v>3345.09</v>
      </c>
    </row>
    <row r="101">
      <c r="A101" s="1" t="s">
        <v>201</v>
      </c>
      <c r="B101" s="2">
        <v>45301.0</v>
      </c>
      <c r="C101" s="1" t="s">
        <v>174</v>
      </c>
      <c r="D101" s="1" t="s">
        <v>202</v>
      </c>
      <c r="E101" s="1" t="s">
        <v>23</v>
      </c>
      <c r="F101" s="1" t="s">
        <v>33</v>
      </c>
      <c r="G101" s="1">
        <v>18298.85</v>
      </c>
    </row>
    <row r="102">
      <c r="A102" s="1" t="s">
        <v>203</v>
      </c>
      <c r="B102" s="2">
        <v>45494.0</v>
      </c>
      <c r="C102" s="1" t="s">
        <v>57</v>
      </c>
      <c r="D102" s="1" t="s">
        <v>29</v>
      </c>
      <c r="E102" s="1" t="s">
        <v>23</v>
      </c>
      <c r="F102" s="1" t="s">
        <v>11</v>
      </c>
      <c r="G102" s="1">
        <v>2755.54</v>
      </c>
    </row>
    <row r="103">
      <c r="A103" s="1" t="s">
        <v>204</v>
      </c>
      <c r="B103" s="2">
        <v>45720.0</v>
      </c>
      <c r="C103" s="1" t="s">
        <v>205</v>
      </c>
      <c r="D103" s="1" t="s">
        <v>42</v>
      </c>
      <c r="E103" s="1" t="s">
        <v>23</v>
      </c>
      <c r="F103" s="1" t="s">
        <v>11</v>
      </c>
      <c r="G103" s="1">
        <v>572.69</v>
      </c>
    </row>
    <row r="104">
      <c r="A104" s="1" t="s">
        <v>206</v>
      </c>
      <c r="B104" s="2">
        <v>45832.0</v>
      </c>
      <c r="C104" s="1" t="s">
        <v>174</v>
      </c>
      <c r="D104" s="1" t="s">
        <v>184</v>
      </c>
      <c r="E104" s="1" t="s">
        <v>23</v>
      </c>
      <c r="F104" s="1" t="s">
        <v>33</v>
      </c>
      <c r="G104" s="1">
        <v>41379.0</v>
      </c>
    </row>
    <row r="105">
      <c r="A105" s="1" t="s">
        <v>207</v>
      </c>
      <c r="B105" s="2">
        <v>45421.0</v>
      </c>
      <c r="C105" s="1" t="s">
        <v>61</v>
      </c>
      <c r="D105" s="1" t="s">
        <v>32</v>
      </c>
      <c r="E105" s="1" t="s">
        <v>10</v>
      </c>
      <c r="F105" s="1" t="s">
        <v>11</v>
      </c>
      <c r="G105" s="1">
        <v>2459.81</v>
      </c>
    </row>
    <row r="106">
      <c r="A106" s="1" t="s">
        <v>208</v>
      </c>
      <c r="B106" s="1" t="s">
        <v>209</v>
      </c>
      <c r="C106" s="1" t="s">
        <v>210</v>
      </c>
      <c r="D106" s="1" t="s">
        <v>22</v>
      </c>
      <c r="E106" s="1" t="s">
        <v>23</v>
      </c>
      <c r="F106" s="1" t="s">
        <v>15</v>
      </c>
      <c r="G106" s="1">
        <v>3268.38</v>
      </c>
    </row>
    <row r="107">
      <c r="A107" s="1" t="s">
        <v>211</v>
      </c>
      <c r="B107" s="1" t="s">
        <v>212</v>
      </c>
      <c r="C107" s="1" t="s">
        <v>52</v>
      </c>
      <c r="D107" s="1" t="s">
        <v>42</v>
      </c>
      <c r="E107" s="1" t="s">
        <v>23</v>
      </c>
      <c r="F107" s="1" t="s">
        <v>15</v>
      </c>
      <c r="G107" s="1">
        <v>6426.73</v>
      </c>
    </row>
    <row r="108">
      <c r="A108" s="1" t="s">
        <v>213</v>
      </c>
      <c r="B108" s="2">
        <v>45534.0</v>
      </c>
      <c r="C108" s="1" t="s">
        <v>205</v>
      </c>
      <c r="D108" s="1" t="s">
        <v>42</v>
      </c>
      <c r="E108" s="1" t="s">
        <v>23</v>
      </c>
      <c r="F108" s="1" t="s">
        <v>11</v>
      </c>
      <c r="G108" s="1">
        <v>1149.7</v>
      </c>
    </row>
    <row r="109">
      <c r="A109" s="1" t="s">
        <v>214</v>
      </c>
      <c r="B109" s="2">
        <v>45529.0</v>
      </c>
      <c r="C109" s="1" t="s">
        <v>205</v>
      </c>
      <c r="D109" s="1" t="s">
        <v>42</v>
      </c>
      <c r="E109" s="1" t="s">
        <v>23</v>
      </c>
      <c r="F109" s="1" t="s">
        <v>11</v>
      </c>
      <c r="G109" s="1">
        <v>1463.37</v>
      </c>
    </row>
    <row r="110">
      <c r="A110" s="1" t="s">
        <v>215</v>
      </c>
      <c r="B110" s="2">
        <v>45751.0</v>
      </c>
      <c r="C110" s="1" t="s">
        <v>216</v>
      </c>
      <c r="D110" s="1" t="s">
        <v>202</v>
      </c>
      <c r="E110" s="1" t="s">
        <v>23</v>
      </c>
      <c r="F110" s="1" t="s">
        <v>15</v>
      </c>
      <c r="G110" s="1">
        <v>10749.74</v>
      </c>
    </row>
    <row r="111">
      <c r="A111" s="1" t="s">
        <v>217</v>
      </c>
      <c r="B111" s="2">
        <v>45531.0</v>
      </c>
      <c r="C111" s="1" t="s">
        <v>154</v>
      </c>
      <c r="D111" s="1" t="s">
        <v>32</v>
      </c>
      <c r="E111" s="1" t="s">
        <v>10</v>
      </c>
      <c r="F111" s="1" t="s">
        <v>33</v>
      </c>
      <c r="G111" s="1">
        <v>15488.21</v>
      </c>
    </row>
    <row r="112">
      <c r="A112" s="1" t="s">
        <v>218</v>
      </c>
      <c r="B112" s="4">
        <v>45428.0</v>
      </c>
      <c r="C112" s="1" t="s">
        <v>219</v>
      </c>
      <c r="D112" s="1" t="s">
        <v>115</v>
      </c>
      <c r="E112" s="1" t="s">
        <v>10</v>
      </c>
      <c r="F112" s="1" t="s">
        <v>15</v>
      </c>
      <c r="G112" s="1">
        <v>9496.11</v>
      </c>
    </row>
    <row r="113">
      <c r="A113" s="1" t="s">
        <v>220</v>
      </c>
      <c r="B113" s="1" t="s">
        <v>221</v>
      </c>
      <c r="C113" s="1" t="s">
        <v>25</v>
      </c>
      <c r="D113" s="1" t="s">
        <v>26</v>
      </c>
      <c r="E113" s="1" t="s">
        <v>23</v>
      </c>
      <c r="F113" s="1" t="s">
        <v>15</v>
      </c>
      <c r="G113" s="1">
        <v>6048.36</v>
      </c>
    </row>
    <row r="114">
      <c r="A114" s="1" t="s">
        <v>222</v>
      </c>
      <c r="B114" s="2">
        <v>45476.0</v>
      </c>
      <c r="C114" s="1" t="s">
        <v>223</v>
      </c>
      <c r="D114" s="1" t="s">
        <v>62</v>
      </c>
      <c r="E114" s="1" t="s">
        <v>10</v>
      </c>
      <c r="F114" s="1" t="s">
        <v>15</v>
      </c>
      <c r="G114" s="1">
        <v>3522.01</v>
      </c>
    </row>
    <row r="115">
      <c r="A115" s="1" t="s">
        <v>224</v>
      </c>
      <c r="B115" s="2">
        <v>45528.0</v>
      </c>
      <c r="C115" s="1" t="s">
        <v>186</v>
      </c>
      <c r="D115" s="1" t="s">
        <v>39</v>
      </c>
      <c r="E115" s="1" t="s">
        <v>19</v>
      </c>
      <c r="F115" s="1" t="s">
        <v>33</v>
      </c>
      <c r="G115" s="1">
        <v>22960.37</v>
      </c>
    </row>
    <row r="116">
      <c r="A116" s="1" t="s">
        <v>225</v>
      </c>
      <c r="B116" s="2">
        <v>45487.0</v>
      </c>
      <c r="C116" s="1" t="s">
        <v>14</v>
      </c>
      <c r="D116" s="1" t="s">
        <v>9</v>
      </c>
      <c r="E116" s="1" t="s">
        <v>10</v>
      </c>
      <c r="F116" s="1" t="s">
        <v>15</v>
      </c>
      <c r="G116" s="1">
        <v>9274.81</v>
      </c>
    </row>
    <row r="117">
      <c r="A117" s="1" t="s">
        <v>226</v>
      </c>
      <c r="B117" s="2">
        <v>45629.0</v>
      </c>
      <c r="C117" s="1" t="s">
        <v>57</v>
      </c>
      <c r="D117" s="1" t="s">
        <v>65</v>
      </c>
      <c r="E117" s="1" t="s">
        <v>23</v>
      </c>
      <c r="F117" s="1" t="s">
        <v>11</v>
      </c>
      <c r="G117" s="1">
        <v>3311.66</v>
      </c>
    </row>
    <row r="118">
      <c r="A118" s="1" t="s">
        <v>227</v>
      </c>
      <c r="B118" s="3">
        <v>45751.0</v>
      </c>
      <c r="C118" s="1" t="s">
        <v>228</v>
      </c>
      <c r="D118" s="1" t="s">
        <v>88</v>
      </c>
      <c r="E118" s="1" t="s">
        <v>10</v>
      </c>
      <c r="F118" s="1" t="s">
        <v>33</v>
      </c>
      <c r="G118" s="1">
        <v>9404.92</v>
      </c>
    </row>
    <row r="119">
      <c r="A119" s="1" t="s">
        <v>229</v>
      </c>
      <c r="B119" s="5">
        <v>45630.0</v>
      </c>
      <c r="C119" s="1" t="s">
        <v>17</v>
      </c>
      <c r="D119" s="1" t="s">
        <v>176</v>
      </c>
      <c r="E119" s="1" t="s">
        <v>19</v>
      </c>
      <c r="F119" s="1" t="s">
        <v>11</v>
      </c>
      <c r="G119" s="1">
        <v>2278.03</v>
      </c>
    </row>
    <row r="120">
      <c r="A120" s="1" t="s">
        <v>230</v>
      </c>
      <c r="B120" s="2">
        <v>45637.0</v>
      </c>
      <c r="C120" s="1" t="s">
        <v>28</v>
      </c>
      <c r="D120" s="1" t="s">
        <v>65</v>
      </c>
      <c r="E120" s="1" t="s">
        <v>23</v>
      </c>
      <c r="F120" s="1" t="s">
        <v>11</v>
      </c>
      <c r="G120" s="1">
        <v>1104.47</v>
      </c>
    </row>
    <row r="121">
      <c r="A121" s="1" t="s">
        <v>231</v>
      </c>
      <c r="B121" s="6">
        <v>45687.0</v>
      </c>
      <c r="C121" s="1" t="s">
        <v>232</v>
      </c>
      <c r="D121" s="1" t="s">
        <v>202</v>
      </c>
      <c r="E121" s="1" t="s">
        <v>23</v>
      </c>
      <c r="F121" s="1" t="s">
        <v>15</v>
      </c>
      <c r="G121" s="1">
        <v>8975.98</v>
      </c>
    </row>
    <row r="122">
      <c r="A122" s="1" t="s">
        <v>233</v>
      </c>
      <c r="B122" s="1" t="s">
        <v>234</v>
      </c>
      <c r="C122" s="1" t="s">
        <v>128</v>
      </c>
      <c r="D122" s="1" t="s">
        <v>176</v>
      </c>
      <c r="E122" s="1" t="s">
        <v>19</v>
      </c>
      <c r="F122" s="1" t="s">
        <v>15</v>
      </c>
      <c r="G122" s="1">
        <v>7515.3</v>
      </c>
    </row>
    <row r="123">
      <c r="A123" s="1" t="s">
        <v>235</v>
      </c>
      <c r="B123" s="2">
        <v>45327.0</v>
      </c>
      <c r="C123" s="1" t="s">
        <v>236</v>
      </c>
      <c r="D123" s="1" t="s">
        <v>65</v>
      </c>
      <c r="E123" s="1" t="s">
        <v>23</v>
      </c>
      <c r="F123" s="1" t="s">
        <v>15</v>
      </c>
      <c r="G123" s="1">
        <v>9252.39</v>
      </c>
    </row>
    <row r="124">
      <c r="A124" s="1" t="s">
        <v>237</v>
      </c>
      <c r="B124" s="2">
        <v>45353.0</v>
      </c>
      <c r="C124" s="1" t="s">
        <v>46</v>
      </c>
      <c r="D124" s="1" t="s">
        <v>115</v>
      </c>
      <c r="E124" s="1" t="s">
        <v>10</v>
      </c>
      <c r="F124" s="1" t="s">
        <v>33</v>
      </c>
      <c r="G124" s="1">
        <v>38227.45</v>
      </c>
    </row>
    <row r="125">
      <c r="A125" s="1" t="s">
        <v>238</v>
      </c>
      <c r="B125" s="2">
        <v>45533.0</v>
      </c>
      <c r="C125" s="1" t="s">
        <v>69</v>
      </c>
      <c r="D125" s="1" t="s">
        <v>47</v>
      </c>
      <c r="E125" s="1" t="s">
        <v>10</v>
      </c>
      <c r="F125" s="1" t="s">
        <v>15</v>
      </c>
      <c r="G125" s="1">
        <v>7904.6</v>
      </c>
    </row>
    <row r="126">
      <c r="A126" s="1" t="s">
        <v>239</v>
      </c>
      <c r="B126" s="2">
        <v>45410.0</v>
      </c>
      <c r="C126" s="1" t="s">
        <v>38</v>
      </c>
      <c r="D126" s="1" t="s">
        <v>72</v>
      </c>
      <c r="E126" s="1" t="s">
        <v>19</v>
      </c>
      <c r="F126" s="1" t="s">
        <v>11</v>
      </c>
      <c r="G126" s="1">
        <v>755.97</v>
      </c>
    </row>
    <row r="127">
      <c r="A127" s="1" t="s">
        <v>240</v>
      </c>
      <c r="B127" s="1" t="s">
        <v>156</v>
      </c>
      <c r="C127" s="1" t="s">
        <v>228</v>
      </c>
      <c r="D127" s="1" t="s">
        <v>55</v>
      </c>
      <c r="E127" s="1" t="s">
        <v>10</v>
      </c>
      <c r="F127" s="1" t="s">
        <v>33</v>
      </c>
      <c r="G127" s="1">
        <v>40290.64</v>
      </c>
    </row>
    <row r="128">
      <c r="A128" s="1" t="s">
        <v>241</v>
      </c>
      <c r="B128" s="2">
        <v>45346.0</v>
      </c>
      <c r="C128" s="1" t="s">
        <v>242</v>
      </c>
      <c r="D128" s="1" t="s">
        <v>76</v>
      </c>
      <c r="E128" s="1" t="s">
        <v>10</v>
      </c>
      <c r="F128" s="1" t="s">
        <v>15</v>
      </c>
      <c r="G128" s="1">
        <v>11065.37</v>
      </c>
    </row>
    <row r="129">
      <c r="A129" s="1" t="s">
        <v>243</v>
      </c>
      <c r="B129" s="2">
        <v>45641.0</v>
      </c>
      <c r="C129" s="1" t="s">
        <v>44</v>
      </c>
      <c r="D129" s="1" t="s">
        <v>36</v>
      </c>
      <c r="E129" s="1" t="s">
        <v>19</v>
      </c>
      <c r="F129" s="1" t="s">
        <v>15</v>
      </c>
      <c r="G129" s="1">
        <v>3880.4</v>
      </c>
    </row>
    <row r="130">
      <c r="A130" s="1" t="s">
        <v>244</v>
      </c>
      <c r="B130" s="2">
        <v>45701.0</v>
      </c>
      <c r="C130" s="1" t="s">
        <v>52</v>
      </c>
      <c r="D130" s="1" t="s">
        <v>171</v>
      </c>
      <c r="E130" s="1" t="s">
        <v>23</v>
      </c>
      <c r="F130" s="1" t="s">
        <v>15</v>
      </c>
      <c r="G130" s="1">
        <v>3023.99</v>
      </c>
    </row>
    <row r="131">
      <c r="A131" s="1" t="s">
        <v>245</v>
      </c>
      <c r="B131" s="2">
        <v>45767.0</v>
      </c>
      <c r="C131" s="1" t="s">
        <v>59</v>
      </c>
      <c r="D131" s="1" t="s">
        <v>72</v>
      </c>
      <c r="E131" s="1" t="s">
        <v>19</v>
      </c>
      <c r="F131" s="1" t="s">
        <v>15</v>
      </c>
      <c r="G131" s="1">
        <v>7297.19</v>
      </c>
    </row>
    <row r="132">
      <c r="A132" s="1" t="s">
        <v>246</v>
      </c>
      <c r="B132" s="2">
        <v>45373.0</v>
      </c>
      <c r="C132" s="1" t="s">
        <v>247</v>
      </c>
      <c r="D132" s="1" t="s">
        <v>29</v>
      </c>
      <c r="E132" s="1" t="s">
        <v>23</v>
      </c>
      <c r="F132" s="1" t="s">
        <v>33</v>
      </c>
      <c r="G132" s="1">
        <v>33414.13</v>
      </c>
    </row>
    <row r="133">
      <c r="A133" s="1" t="s">
        <v>248</v>
      </c>
      <c r="B133" s="1" t="s">
        <v>249</v>
      </c>
      <c r="C133" s="1" t="s">
        <v>250</v>
      </c>
      <c r="D133" s="1" t="s">
        <v>18</v>
      </c>
      <c r="E133" s="1" t="s">
        <v>19</v>
      </c>
      <c r="F133" s="1" t="s">
        <v>33</v>
      </c>
      <c r="G133" s="1">
        <v>38593.61</v>
      </c>
    </row>
    <row r="134">
      <c r="A134" s="1" t="s">
        <v>251</v>
      </c>
      <c r="B134" s="2">
        <v>45329.0</v>
      </c>
      <c r="C134" s="1" t="s">
        <v>17</v>
      </c>
      <c r="D134" s="1" t="s">
        <v>18</v>
      </c>
      <c r="E134" s="1" t="s">
        <v>19</v>
      </c>
      <c r="F134" s="1" t="s">
        <v>11</v>
      </c>
      <c r="G134" s="1">
        <v>1151.91</v>
      </c>
    </row>
    <row r="135">
      <c r="A135" s="1" t="s">
        <v>252</v>
      </c>
      <c r="B135" s="2">
        <v>45760.0</v>
      </c>
      <c r="C135" s="1" t="s">
        <v>253</v>
      </c>
      <c r="D135" s="1" t="s">
        <v>36</v>
      </c>
      <c r="E135" s="1" t="s">
        <v>19</v>
      </c>
      <c r="F135" s="1" t="s">
        <v>11</v>
      </c>
      <c r="G135" s="1">
        <v>580.03</v>
      </c>
    </row>
    <row r="136">
      <c r="A136" s="1" t="s">
        <v>254</v>
      </c>
      <c r="B136" s="2">
        <v>45785.0</v>
      </c>
      <c r="C136" s="1" t="s">
        <v>17</v>
      </c>
      <c r="D136" s="1" t="s">
        <v>176</v>
      </c>
      <c r="E136" s="1" t="s">
        <v>19</v>
      </c>
      <c r="F136" s="1" t="s">
        <v>11</v>
      </c>
      <c r="G136" s="1">
        <v>2874.13</v>
      </c>
    </row>
    <row r="137">
      <c r="A137" s="1" t="s">
        <v>255</v>
      </c>
      <c r="B137" s="3">
        <v>45363.0</v>
      </c>
      <c r="C137" s="1" t="s">
        <v>14</v>
      </c>
      <c r="D137" s="1" t="s">
        <v>9</v>
      </c>
      <c r="E137" s="1" t="s">
        <v>10</v>
      </c>
      <c r="F137" s="1" t="s">
        <v>15</v>
      </c>
      <c r="G137" s="1">
        <v>7614.9</v>
      </c>
    </row>
    <row r="138">
      <c r="A138" s="1" t="s">
        <v>256</v>
      </c>
      <c r="B138" s="2">
        <v>45530.0</v>
      </c>
      <c r="C138" s="1" t="s">
        <v>162</v>
      </c>
      <c r="D138" s="1" t="s">
        <v>102</v>
      </c>
      <c r="E138" s="1" t="s">
        <v>19</v>
      </c>
      <c r="F138" s="1" t="s">
        <v>33</v>
      </c>
      <c r="G138" s="1">
        <v>37798.85</v>
      </c>
    </row>
    <row r="139">
      <c r="A139" s="1" t="s">
        <v>257</v>
      </c>
      <c r="B139" s="2">
        <v>45365.0</v>
      </c>
      <c r="C139" s="1" t="s">
        <v>59</v>
      </c>
      <c r="D139" s="1" t="s">
        <v>72</v>
      </c>
      <c r="E139" s="1" t="s">
        <v>19</v>
      </c>
      <c r="F139" s="1" t="s">
        <v>15</v>
      </c>
      <c r="G139" s="1">
        <v>9320.95</v>
      </c>
    </row>
    <row r="140">
      <c r="A140" s="1" t="s">
        <v>258</v>
      </c>
      <c r="B140" s="2">
        <v>45464.0</v>
      </c>
      <c r="C140" s="1" t="s">
        <v>236</v>
      </c>
      <c r="D140" s="1" t="s">
        <v>29</v>
      </c>
      <c r="E140" s="1" t="s">
        <v>23</v>
      </c>
      <c r="F140" s="1" t="s">
        <v>15</v>
      </c>
      <c r="G140" s="1">
        <v>7418.67</v>
      </c>
    </row>
    <row r="141">
      <c r="A141" s="1" t="s">
        <v>259</v>
      </c>
      <c r="B141" s="2">
        <v>45600.0</v>
      </c>
      <c r="C141" s="1" t="s">
        <v>260</v>
      </c>
      <c r="D141" s="1" t="s">
        <v>50</v>
      </c>
      <c r="E141" s="1" t="s">
        <v>10</v>
      </c>
      <c r="F141" s="1" t="s">
        <v>11</v>
      </c>
      <c r="G141" s="1">
        <v>2086.75</v>
      </c>
    </row>
    <row r="142">
      <c r="A142" s="1" t="s">
        <v>261</v>
      </c>
      <c r="B142" s="2">
        <v>45437.0</v>
      </c>
      <c r="C142" s="1" t="s">
        <v>97</v>
      </c>
      <c r="D142" s="1" t="s">
        <v>39</v>
      </c>
      <c r="E142" s="1" t="s">
        <v>19</v>
      </c>
      <c r="F142" s="1" t="s">
        <v>33</v>
      </c>
      <c r="G142" s="1">
        <v>30272.74</v>
      </c>
    </row>
    <row r="143">
      <c r="A143" s="1" t="s">
        <v>262</v>
      </c>
      <c r="B143" s="2">
        <v>45737.0</v>
      </c>
      <c r="C143" s="1" t="s">
        <v>59</v>
      </c>
      <c r="D143" s="1" t="s">
        <v>39</v>
      </c>
      <c r="E143" s="1" t="s">
        <v>19</v>
      </c>
      <c r="F143" s="1" t="s">
        <v>15</v>
      </c>
      <c r="G143" s="1">
        <v>7195.82</v>
      </c>
    </row>
    <row r="144">
      <c r="A144" s="1" t="s">
        <v>263</v>
      </c>
      <c r="B144" s="2">
        <v>45440.0</v>
      </c>
      <c r="C144" s="1" t="s">
        <v>186</v>
      </c>
      <c r="D144" s="1" t="s">
        <v>72</v>
      </c>
      <c r="E144" s="1" t="s">
        <v>19</v>
      </c>
      <c r="F144" s="1" t="s">
        <v>33</v>
      </c>
    </row>
    <row r="145">
      <c r="A145" s="1" t="s">
        <v>264</v>
      </c>
      <c r="B145" s="3">
        <v>45566.0</v>
      </c>
      <c r="C145" s="1" t="s">
        <v>154</v>
      </c>
      <c r="D145" s="1" t="s">
        <v>9</v>
      </c>
      <c r="E145" s="1" t="s">
        <v>10</v>
      </c>
      <c r="F145" s="1" t="s">
        <v>33</v>
      </c>
      <c r="G145" s="1">
        <v>33399.41</v>
      </c>
    </row>
    <row r="146">
      <c r="A146" s="1" t="s">
        <v>265</v>
      </c>
      <c r="B146" s="1" t="s">
        <v>266</v>
      </c>
      <c r="C146" s="1" t="s">
        <v>128</v>
      </c>
      <c r="D146" s="1" t="s">
        <v>176</v>
      </c>
      <c r="E146" s="1" t="s">
        <v>19</v>
      </c>
      <c r="F146" s="1" t="s">
        <v>15</v>
      </c>
      <c r="G146" s="1">
        <v>11370.85</v>
      </c>
    </row>
    <row r="147">
      <c r="A147" s="1" t="s">
        <v>267</v>
      </c>
      <c r="B147" s="2">
        <v>45601.0</v>
      </c>
      <c r="C147" s="1" t="s">
        <v>61</v>
      </c>
      <c r="D147" s="1" t="s">
        <v>9</v>
      </c>
      <c r="E147" s="1" t="s">
        <v>10</v>
      </c>
      <c r="F147" s="1" t="s">
        <v>11</v>
      </c>
      <c r="G147" s="1">
        <v>2886.37</v>
      </c>
    </row>
    <row r="148">
      <c r="A148" s="1" t="s">
        <v>268</v>
      </c>
      <c r="B148" s="2">
        <v>45799.0</v>
      </c>
      <c r="C148" s="1" t="s">
        <v>14</v>
      </c>
      <c r="D148" s="1" t="s">
        <v>62</v>
      </c>
      <c r="E148" s="1" t="s">
        <v>10</v>
      </c>
      <c r="F148" s="1" t="s">
        <v>15</v>
      </c>
      <c r="G148" s="1">
        <v>2947.31</v>
      </c>
    </row>
    <row r="149">
      <c r="A149" s="1" t="s">
        <v>269</v>
      </c>
      <c r="B149" s="2">
        <v>45801.0</v>
      </c>
      <c r="C149" s="1" t="s">
        <v>46</v>
      </c>
      <c r="D149" s="1" t="s">
        <v>47</v>
      </c>
      <c r="E149" s="1" t="s">
        <v>10</v>
      </c>
      <c r="F149" s="1" t="s">
        <v>33</v>
      </c>
      <c r="G149" s="1">
        <v>16516.18</v>
      </c>
    </row>
    <row r="150">
      <c r="A150" s="1" t="s">
        <v>270</v>
      </c>
      <c r="B150" s="2">
        <v>45466.0</v>
      </c>
      <c r="C150" s="1" t="s">
        <v>28</v>
      </c>
      <c r="D150" s="1" t="s">
        <v>29</v>
      </c>
      <c r="E150" s="1" t="s">
        <v>23</v>
      </c>
      <c r="F150" s="1" t="s">
        <v>11</v>
      </c>
      <c r="G150" s="1">
        <v>594.13</v>
      </c>
    </row>
    <row r="151">
      <c r="A151" s="1" t="s">
        <v>271</v>
      </c>
      <c r="B151" s="2">
        <v>45714.0</v>
      </c>
      <c r="C151" s="1" t="s">
        <v>78</v>
      </c>
      <c r="D151" s="1" t="s">
        <v>22</v>
      </c>
      <c r="E151" s="1" t="s">
        <v>23</v>
      </c>
      <c r="F151" s="1" t="s">
        <v>11</v>
      </c>
      <c r="G151" s="1">
        <v>2567.67</v>
      </c>
    </row>
    <row r="152">
      <c r="A152" s="1" t="s">
        <v>272</v>
      </c>
      <c r="B152" s="2">
        <v>45581.0</v>
      </c>
      <c r="C152" s="1" t="s">
        <v>46</v>
      </c>
      <c r="D152" s="1" t="s">
        <v>115</v>
      </c>
      <c r="E152" s="1" t="s">
        <v>10</v>
      </c>
      <c r="F152" s="1" t="s">
        <v>33</v>
      </c>
      <c r="G152" s="1">
        <v>10470.39</v>
      </c>
    </row>
    <row r="153">
      <c r="A153" s="1" t="s">
        <v>273</v>
      </c>
      <c r="B153" s="2">
        <v>45709.0</v>
      </c>
      <c r="C153" s="1" t="s">
        <v>95</v>
      </c>
      <c r="D153" s="1" t="s">
        <v>65</v>
      </c>
      <c r="E153" s="1" t="s">
        <v>23</v>
      </c>
      <c r="F153" s="1" t="s">
        <v>33</v>
      </c>
      <c r="G153" s="1">
        <v>39109.81</v>
      </c>
    </row>
    <row r="154">
      <c r="A154" s="1" t="s">
        <v>274</v>
      </c>
      <c r="B154" s="2">
        <v>45488.0</v>
      </c>
      <c r="C154" s="1" t="s">
        <v>141</v>
      </c>
      <c r="D154" s="1" t="s">
        <v>32</v>
      </c>
      <c r="E154" s="1" t="s">
        <v>10</v>
      </c>
      <c r="F154" s="1" t="s">
        <v>33</v>
      </c>
      <c r="G154" s="1">
        <v>36658.64</v>
      </c>
    </row>
    <row r="155">
      <c r="A155" s="1" t="s">
        <v>275</v>
      </c>
      <c r="B155" s="2">
        <v>45631.0</v>
      </c>
      <c r="C155" s="1" t="s">
        <v>276</v>
      </c>
      <c r="D155" s="1" t="s">
        <v>115</v>
      </c>
      <c r="E155" s="1" t="s">
        <v>10</v>
      </c>
      <c r="F155" s="1" t="s">
        <v>11</v>
      </c>
      <c r="G155" s="1">
        <v>2111.16</v>
      </c>
    </row>
    <row r="156">
      <c r="A156" s="1" t="s">
        <v>277</v>
      </c>
      <c r="B156" s="2">
        <v>45350.0</v>
      </c>
      <c r="C156" s="1" t="s">
        <v>52</v>
      </c>
      <c r="D156" s="1" t="s">
        <v>171</v>
      </c>
      <c r="E156" s="1" t="s">
        <v>23</v>
      </c>
      <c r="F156" s="1" t="s">
        <v>15</v>
      </c>
      <c r="G156" s="1">
        <v>3937.55</v>
      </c>
    </row>
    <row r="157">
      <c r="A157" s="1" t="s">
        <v>278</v>
      </c>
      <c r="B157" s="2">
        <v>45368.0</v>
      </c>
      <c r="C157" s="1" t="s">
        <v>279</v>
      </c>
      <c r="D157" s="1" t="s">
        <v>65</v>
      </c>
      <c r="E157" s="1" t="s">
        <v>23</v>
      </c>
      <c r="F157" s="1" t="s">
        <v>15</v>
      </c>
      <c r="G157" s="1">
        <v>10295.69</v>
      </c>
    </row>
    <row r="158">
      <c r="A158" s="1" t="s">
        <v>280</v>
      </c>
      <c r="B158" s="2">
        <v>45725.0</v>
      </c>
      <c r="C158" s="1" t="s">
        <v>281</v>
      </c>
      <c r="D158" s="1" t="s">
        <v>32</v>
      </c>
      <c r="E158" s="1" t="s">
        <v>10</v>
      </c>
      <c r="F158" s="1" t="s">
        <v>15</v>
      </c>
      <c r="G158" s="1">
        <v>2896.72</v>
      </c>
    </row>
    <row r="159">
      <c r="A159" s="1" t="s">
        <v>282</v>
      </c>
      <c r="B159" s="2">
        <v>45592.0</v>
      </c>
      <c r="C159" s="1" t="s">
        <v>283</v>
      </c>
      <c r="D159" s="1" t="s">
        <v>171</v>
      </c>
      <c r="E159" s="1" t="s">
        <v>23</v>
      </c>
      <c r="F159" s="1" t="s">
        <v>15</v>
      </c>
      <c r="G159" s="1">
        <v>7453.86</v>
      </c>
    </row>
    <row r="160">
      <c r="A160" s="1" t="s">
        <v>284</v>
      </c>
      <c r="B160" s="2">
        <v>45341.0</v>
      </c>
      <c r="C160" s="1" t="s">
        <v>154</v>
      </c>
      <c r="D160" s="1" t="s">
        <v>32</v>
      </c>
      <c r="E160" s="1" t="s">
        <v>10</v>
      </c>
      <c r="F160" s="1" t="s">
        <v>33</v>
      </c>
      <c r="G160" s="1">
        <v>40856.03</v>
      </c>
    </row>
    <row r="161">
      <c r="A161" s="1" t="s">
        <v>285</v>
      </c>
      <c r="B161" s="2">
        <v>45680.0</v>
      </c>
      <c r="C161" s="1" t="s">
        <v>286</v>
      </c>
      <c r="D161" s="1" t="s">
        <v>202</v>
      </c>
      <c r="E161" s="1" t="s">
        <v>23</v>
      </c>
      <c r="F161" s="1" t="s">
        <v>33</v>
      </c>
      <c r="G161" s="1">
        <v>34910.77</v>
      </c>
    </row>
    <row r="162">
      <c r="A162" s="1" t="s">
        <v>287</v>
      </c>
      <c r="B162" s="2">
        <v>45303.0</v>
      </c>
      <c r="C162" s="1" t="s">
        <v>174</v>
      </c>
      <c r="D162" s="1" t="s">
        <v>26</v>
      </c>
      <c r="E162" s="1" t="s">
        <v>23</v>
      </c>
      <c r="F162" s="1" t="s">
        <v>33</v>
      </c>
      <c r="G162" s="1">
        <v>17423.73</v>
      </c>
    </row>
    <row r="163">
      <c r="A163" s="1" t="s">
        <v>288</v>
      </c>
      <c r="B163" s="2">
        <v>45320.0</v>
      </c>
      <c r="C163" s="1" t="s">
        <v>162</v>
      </c>
      <c r="D163" s="1" t="s">
        <v>18</v>
      </c>
      <c r="E163" s="1" t="s">
        <v>19</v>
      </c>
      <c r="F163" s="1" t="s">
        <v>33</v>
      </c>
      <c r="G163" s="1">
        <v>35394.42</v>
      </c>
    </row>
    <row r="164">
      <c r="A164" s="1" t="s">
        <v>289</v>
      </c>
      <c r="B164" s="1" t="s">
        <v>290</v>
      </c>
      <c r="C164" s="1" t="s">
        <v>104</v>
      </c>
      <c r="D164" s="1" t="s">
        <v>18</v>
      </c>
      <c r="E164" s="1" t="s">
        <v>19</v>
      </c>
      <c r="F164" s="1" t="s">
        <v>15</v>
      </c>
      <c r="G164" s="1">
        <v>2569.43</v>
      </c>
    </row>
    <row r="165">
      <c r="A165" s="1" t="s">
        <v>291</v>
      </c>
      <c r="B165" s="2">
        <v>45662.0</v>
      </c>
      <c r="C165" s="1" t="s">
        <v>131</v>
      </c>
      <c r="D165" s="1" t="s">
        <v>36</v>
      </c>
      <c r="E165" s="1" t="s">
        <v>19</v>
      </c>
      <c r="F165" s="1" t="s">
        <v>11</v>
      </c>
      <c r="G165" s="1">
        <v>2539.64</v>
      </c>
    </row>
    <row r="166">
      <c r="A166" s="1" t="s">
        <v>292</v>
      </c>
      <c r="B166" s="2">
        <v>45549.0</v>
      </c>
      <c r="C166" s="1" t="s">
        <v>293</v>
      </c>
      <c r="D166" s="1" t="s">
        <v>88</v>
      </c>
      <c r="E166" s="1" t="s">
        <v>10</v>
      </c>
      <c r="F166" s="1" t="s">
        <v>33</v>
      </c>
      <c r="G166" s="1">
        <v>21386.76</v>
      </c>
    </row>
    <row r="167">
      <c r="A167" s="1" t="s">
        <v>294</v>
      </c>
      <c r="B167" s="1" t="s">
        <v>295</v>
      </c>
      <c r="C167" s="1" t="s">
        <v>223</v>
      </c>
      <c r="D167" s="1" t="s">
        <v>62</v>
      </c>
      <c r="E167" s="1" t="s">
        <v>10</v>
      </c>
      <c r="F167" s="1" t="s">
        <v>15</v>
      </c>
      <c r="G167" s="1">
        <v>3861.25</v>
      </c>
    </row>
    <row r="168">
      <c r="A168" s="1" t="s">
        <v>296</v>
      </c>
      <c r="B168" s="2">
        <v>45785.0</v>
      </c>
      <c r="C168" s="1" t="s">
        <v>174</v>
      </c>
      <c r="D168" s="1" t="s">
        <v>202</v>
      </c>
      <c r="E168" s="1" t="s">
        <v>23</v>
      </c>
      <c r="F168" s="1" t="s">
        <v>33</v>
      </c>
      <c r="G168" s="1">
        <v>28903.26</v>
      </c>
    </row>
    <row r="169">
      <c r="A169" s="1" t="s">
        <v>297</v>
      </c>
      <c r="B169" s="2">
        <v>45652.0</v>
      </c>
      <c r="C169" s="1" t="s">
        <v>128</v>
      </c>
      <c r="D169" s="1" t="s">
        <v>18</v>
      </c>
      <c r="E169" s="1" t="s">
        <v>19</v>
      </c>
      <c r="F169" s="1" t="s">
        <v>15</v>
      </c>
      <c r="G169" s="1">
        <v>5375.17</v>
      </c>
    </row>
    <row r="170">
      <c r="A170" s="1" t="s">
        <v>298</v>
      </c>
      <c r="B170" s="2">
        <v>45574.0</v>
      </c>
      <c r="C170" s="1" t="s">
        <v>14</v>
      </c>
      <c r="D170" s="1" t="s">
        <v>62</v>
      </c>
      <c r="E170" s="1" t="s">
        <v>10</v>
      </c>
      <c r="F170" s="1" t="s">
        <v>15</v>
      </c>
      <c r="G170" s="1">
        <v>2906.21</v>
      </c>
    </row>
    <row r="171">
      <c r="A171" s="1" t="s">
        <v>299</v>
      </c>
      <c r="B171" s="2">
        <v>45332.0</v>
      </c>
      <c r="C171" s="1" t="s">
        <v>286</v>
      </c>
      <c r="D171" s="1" t="s">
        <v>184</v>
      </c>
      <c r="E171" s="1" t="s">
        <v>23</v>
      </c>
      <c r="F171" s="1" t="s">
        <v>33</v>
      </c>
      <c r="G171" s="1">
        <v>39816.64</v>
      </c>
    </row>
    <row r="172">
      <c r="A172" s="1" t="s">
        <v>300</v>
      </c>
      <c r="B172" s="2">
        <v>45831.0</v>
      </c>
      <c r="C172" s="1" t="s">
        <v>216</v>
      </c>
      <c r="D172" s="1" t="s">
        <v>202</v>
      </c>
      <c r="E172" s="1" t="s">
        <v>23</v>
      </c>
      <c r="F172" s="1" t="s">
        <v>15</v>
      </c>
      <c r="G172" s="1">
        <v>3442.08</v>
      </c>
    </row>
    <row r="173">
      <c r="A173" s="1" t="s">
        <v>301</v>
      </c>
      <c r="B173" s="2">
        <v>45357.0</v>
      </c>
      <c r="C173" s="1" t="s">
        <v>205</v>
      </c>
      <c r="D173" s="1" t="s">
        <v>171</v>
      </c>
      <c r="E173" s="1" t="s">
        <v>23</v>
      </c>
      <c r="F173" s="1" t="s">
        <v>11</v>
      </c>
      <c r="G173" s="1">
        <v>3429.1</v>
      </c>
    </row>
    <row r="174">
      <c r="A174" s="1" t="s">
        <v>302</v>
      </c>
      <c r="B174" s="4">
        <v>45804.0</v>
      </c>
      <c r="C174" s="1" t="s">
        <v>276</v>
      </c>
      <c r="D174" s="1" t="s">
        <v>50</v>
      </c>
      <c r="E174" s="1" t="s">
        <v>10</v>
      </c>
      <c r="F174" s="1" t="s">
        <v>11</v>
      </c>
      <c r="G174" s="1">
        <v>1707.62</v>
      </c>
    </row>
    <row r="175">
      <c r="A175" s="1" t="s">
        <v>303</v>
      </c>
      <c r="B175" s="2">
        <v>45726.0</v>
      </c>
      <c r="C175" s="1" t="s">
        <v>196</v>
      </c>
      <c r="D175" s="1" t="s">
        <v>55</v>
      </c>
      <c r="E175" s="1" t="s">
        <v>10</v>
      </c>
      <c r="F175" s="1" t="s">
        <v>15</v>
      </c>
      <c r="G175" s="1">
        <v>11085.09</v>
      </c>
    </row>
    <row r="176">
      <c r="A176" s="1" t="s">
        <v>304</v>
      </c>
      <c r="B176" s="2">
        <v>45395.0</v>
      </c>
      <c r="C176" s="1" t="s">
        <v>186</v>
      </c>
      <c r="D176" s="1" t="s">
        <v>39</v>
      </c>
      <c r="E176" s="1" t="s">
        <v>19</v>
      </c>
      <c r="F176" s="1" t="s">
        <v>33</v>
      </c>
      <c r="G176" s="1">
        <v>20783.52</v>
      </c>
    </row>
    <row r="177">
      <c r="A177" s="1" t="s">
        <v>305</v>
      </c>
      <c r="B177" s="2">
        <v>45385.0</v>
      </c>
      <c r="C177" s="1" t="s">
        <v>236</v>
      </c>
      <c r="D177" s="1" t="s">
        <v>29</v>
      </c>
      <c r="E177" s="1" t="s">
        <v>23</v>
      </c>
      <c r="F177" s="1" t="s">
        <v>15</v>
      </c>
      <c r="G177" s="1">
        <v>4706.18</v>
      </c>
    </row>
    <row r="178">
      <c r="A178" s="1" t="s">
        <v>306</v>
      </c>
      <c r="B178" s="2">
        <v>45411.0</v>
      </c>
      <c r="C178" s="1" t="s">
        <v>14</v>
      </c>
      <c r="D178" s="1" t="s">
        <v>32</v>
      </c>
      <c r="E178" s="1" t="s">
        <v>10</v>
      </c>
      <c r="F178" s="1" t="s">
        <v>15</v>
      </c>
      <c r="G178" s="1">
        <v>4074.23</v>
      </c>
    </row>
    <row r="179">
      <c r="A179" s="1" t="s">
        <v>307</v>
      </c>
      <c r="B179" s="6">
        <v>45351.0</v>
      </c>
      <c r="C179" s="1" t="s">
        <v>178</v>
      </c>
      <c r="D179" s="1" t="s">
        <v>55</v>
      </c>
      <c r="E179" s="1" t="s">
        <v>10</v>
      </c>
      <c r="F179" s="1" t="s">
        <v>33</v>
      </c>
      <c r="G179" s="1">
        <v>41157.85</v>
      </c>
    </row>
    <row r="180">
      <c r="A180" s="1" t="s">
        <v>308</v>
      </c>
      <c r="B180" s="2">
        <v>45324.0</v>
      </c>
      <c r="C180" s="1" t="s">
        <v>41</v>
      </c>
      <c r="D180" s="1" t="s">
        <v>107</v>
      </c>
      <c r="E180" s="1" t="s">
        <v>23</v>
      </c>
      <c r="F180" s="1" t="s">
        <v>11</v>
      </c>
      <c r="G180" s="1">
        <v>1896.19</v>
      </c>
    </row>
    <row r="181">
      <c r="A181" s="1" t="s">
        <v>309</v>
      </c>
      <c r="B181" s="2">
        <v>45623.0</v>
      </c>
      <c r="C181" s="1" t="s">
        <v>8</v>
      </c>
      <c r="D181" s="1" t="s">
        <v>9</v>
      </c>
      <c r="E181" s="1" t="s">
        <v>10</v>
      </c>
      <c r="F181" s="1" t="s">
        <v>11</v>
      </c>
      <c r="G181" s="1">
        <v>1590.6</v>
      </c>
    </row>
    <row r="182">
      <c r="A182" s="1" t="s">
        <v>310</v>
      </c>
      <c r="B182" s="2">
        <v>45426.0</v>
      </c>
      <c r="C182" s="1" t="s">
        <v>49</v>
      </c>
      <c r="D182" s="1" t="s">
        <v>50</v>
      </c>
      <c r="E182" s="1" t="s">
        <v>10</v>
      </c>
      <c r="F182" s="1" t="s">
        <v>15</v>
      </c>
      <c r="G182" s="1">
        <v>5263.63</v>
      </c>
    </row>
    <row r="183">
      <c r="A183" s="1" t="s">
        <v>311</v>
      </c>
      <c r="B183" s="2">
        <v>45517.0</v>
      </c>
      <c r="C183" s="1" t="s">
        <v>210</v>
      </c>
      <c r="D183" s="1" t="s">
        <v>22</v>
      </c>
      <c r="E183" s="1" t="s">
        <v>23</v>
      </c>
      <c r="F183" s="1" t="s">
        <v>15</v>
      </c>
      <c r="G183" s="1">
        <v>10388.6</v>
      </c>
    </row>
    <row r="184">
      <c r="A184" s="1" t="s">
        <v>312</v>
      </c>
      <c r="B184" s="2">
        <v>45309.0</v>
      </c>
      <c r="C184" s="1" t="s">
        <v>216</v>
      </c>
      <c r="D184" s="1" t="s">
        <v>202</v>
      </c>
      <c r="E184" s="1" t="s">
        <v>23</v>
      </c>
      <c r="F184" s="1" t="s">
        <v>15</v>
      </c>
      <c r="G184" s="1">
        <v>4861.58</v>
      </c>
    </row>
    <row r="185">
      <c r="A185" s="1" t="s">
        <v>313</v>
      </c>
      <c r="B185" s="2">
        <v>45472.0</v>
      </c>
      <c r="C185" s="1" t="s">
        <v>14</v>
      </c>
      <c r="D185" s="1" t="s">
        <v>32</v>
      </c>
      <c r="E185" s="1" t="s">
        <v>10</v>
      </c>
      <c r="F185" s="1" t="s">
        <v>15</v>
      </c>
      <c r="G185" s="1">
        <v>4692.11</v>
      </c>
    </row>
    <row r="186">
      <c r="A186" s="1" t="s">
        <v>314</v>
      </c>
      <c r="B186" s="2">
        <v>45512.0</v>
      </c>
      <c r="C186" s="1" t="s">
        <v>260</v>
      </c>
      <c r="D186" s="1" t="s">
        <v>115</v>
      </c>
      <c r="E186" s="1" t="s">
        <v>10</v>
      </c>
      <c r="F186" s="1" t="s">
        <v>11</v>
      </c>
      <c r="G186" s="1">
        <v>602.99</v>
      </c>
    </row>
    <row r="187">
      <c r="A187" s="1" t="s">
        <v>315</v>
      </c>
      <c r="B187" s="2">
        <v>45346.0</v>
      </c>
      <c r="C187" s="1" t="s">
        <v>316</v>
      </c>
      <c r="D187" s="1" t="s">
        <v>22</v>
      </c>
      <c r="E187" s="1" t="s">
        <v>23</v>
      </c>
      <c r="F187" s="1" t="s">
        <v>33</v>
      </c>
      <c r="G187" s="1">
        <v>31134.09</v>
      </c>
    </row>
    <row r="188">
      <c r="A188" s="1" t="s">
        <v>317</v>
      </c>
      <c r="B188" s="2">
        <v>45778.0</v>
      </c>
      <c r="C188" s="1" t="s">
        <v>52</v>
      </c>
      <c r="D188" s="1" t="s">
        <v>171</v>
      </c>
      <c r="E188" s="1" t="s">
        <v>23</v>
      </c>
      <c r="F188" s="1" t="s">
        <v>15</v>
      </c>
      <c r="G188" s="1">
        <v>4621.2</v>
      </c>
    </row>
    <row r="189">
      <c r="A189" s="1" t="s">
        <v>318</v>
      </c>
      <c r="B189" s="2">
        <v>45499.0</v>
      </c>
      <c r="C189" s="1" t="s">
        <v>46</v>
      </c>
      <c r="D189" s="1" t="s">
        <v>47</v>
      </c>
      <c r="E189" s="1" t="s">
        <v>10</v>
      </c>
      <c r="F189" s="1" t="s">
        <v>33</v>
      </c>
      <c r="G189" s="1">
        <v>31666.45</v>
      </c>
    </row>
    <row r="190">
      <c r="A190" s="1" t="s">
        <v>319</v>
      </c>
      <c r="B190" s="2">
        <v>45407.0</v>
      </c>
      <c r="C190" s="1" t="s">
        <v>320</v>
      </c>
      <c r="D190" s="1" t="s">
        <v>76</v>
      </c>
      <c r="E190" s="1" t="s">
        <v>10</v>
      </c>
      <c r="F190" s="1" t="s">
        <v>15</v>
      </c>
      <c r="G190" s="1">
        <v>3498.77</v>
      </c>
    </row>
    <row r="191">
      <c r="A191" s="1" t="s">
        <v>321</v>
      </c>
      <c r="B191" s="2">
        <v>45662.0</v>
      </c>
      <c r="C191" s="1" t="s">
        <v>97</v>
      </c>
      <c r="D191" s="1" t="s">
        <v>36</v>
      </c>
      <c r="E191" s="1" t="s">
        <v>19</v>
      </c>
      <c r="F191" s="1" t="s">
        <v>33</v>
      </c>
      <c r="G191" s="1">
        <v>36637.36</v>
      </c>
    </row>
    <row r="192">
      <c r="A192" s="1" t="s">
        <v>322</v>
      </c>
      <c r="B192" s="2">
        <v>45779.0</v>
      </c>
      <c r="C192" s="1" t="s">
        <v>323</v>
      </c>
      <c r="D192" s="1" t="s">
        <v>102</v>
      </c>
      <c r="E192" s="1" t="s">
        <v>19</v>
      </c>
      <c r="F192" s="1" t="s">
        <v>33</v>
      </c>
      <c r="G192" s="1">
        <v>10807.43</v>
      </c>
    </row>
    <row r="193">
      <c r="A193" s="1" t="s">
        <v>324</v>
      </c>
      <c r="B193" s="1" t="s">
        <v>169</v>
      </c>
      <c r="C193" s="1" t="s">
        <v>260</v>
      </c>
      <c r="D193" s="1" t="s">
        <v>115</v>
      </c>
      <c r="E193" s="1" t="s">
        <v>10</v>
      </c>
      <c r="F193" s="1" t="s">
        <v>11</v>
      </c>
      <c r="G193" s="1">
        <v>3052.43</v>
      </c>
    </row>
    <row r="194">
      <c r="A194" s="1" t="s">
        <v>325</v>
      </c>
      <c r="B194" s="2">
        <v>45591.0</v>
      </c>
      <c r="C194" s="1" t="s">
        <v>232</v>
      </c>
      <c r="D194" s="1" t="s">
        <v>184</v>
      </c>
      <c r="E194" s="1" t="s">
        <v>23</v>
      </c>
      <c r="F194" s="1" t="s">
        <v>15</v>
      </c>
      <c r="G194" s="1">
        <v>3216.66</v>
      </c>
    </row>
    <row r="195">
      <c r="A195" s="1" t="s">
        <v>326</v>
      </c>
      <c r="B195" s="2">
        <v>45558.0</v>
      </c>
      <c r="C195" s="1" t="s">
        <v>128</v>
      </c>
      <c r="D195" s="1" t="s">
        <v>18</v>
      </c>
      <c r="E195" s="1" t="s">
        <v>19</v>
      </c>
      <c r="F195" s="1" t="s">
        <v>15</v>
      </c>
      <c r="G195" s="1">
        <v>2913.49</v>
      </c>
    </row>
    <row r="196">
      <c r="A196" s="1" t="s">
        <v>327</v>
      </c>
      <c r="B196" s="2">
        <v>45783.0</v>
      </c>
      <c r="C196" s="1" t="s">
        <v>14</v>
      </c>
      <c r="D196" s="1" t="s">
        <v>9</v>
      </c>
      <c r="E196" s="1" t="s">
        <v>10</v>
      </c>
      <c r="F196" s="1" t="s">
        <v>15</v>
      </c>
      <c r="G196" s="1">
        <v>6128.53</v>
      </c>
    </row>
    <row r="197">
      <c r="A197" s="1" t="s">
        <v>328</v>
      </c>
      <c r="B197" s="2">
        <v>45797.0</v>
      </c>
      <c r="C197" s="1" t="s">
        <v>90</v>
      </c>
      <c r="D197" s="1" t="s">
        <v>88</v>
      </c>
      <c r="E197" s="1" t="s">
        <v>10</v>
      </c>
      <c r="F197" s="1" t="s">
        <v>33</v>
      </c>
      <c r="G197" s="1">
        <v>11729.5</v>
      </c>
    </row>
    <row r="198">
      <c r="A198" s="1" t="s">
        <v>329</v>
      </c>
      <c r="B198" s="2">
        <v>45826.0</v>
      </c>
      <c r="C198" s="1" t="s">
        <v>174</v>
      </c>
      <c r="D198" s="1" t="s">
        <v>26</v>
      </c>
      <c r="E198" s="1" t="s">
        <v>23</v>
      </c>
      <c r="F198" s="1" t="s">
        <v>33</v>
      </c>
      <c r="G198" s="1">
        <v>37911.88</v>
      </c>
    </row>
    <row r="199">
      <c r="A199" s="1" t="s">
        <v>330</v>
      </c>
      <c r="B199" s="2">
        <v>45780.0</v>
      </c>
      <c r="C199" s="1" t="s">
        <v>331</v>
      </c>
      <c r="D199" s="1" t="s">
        <v>62</v>
      </c>
      <c r="E199" s="1" t="s">
        <v>10</v>
      </c>
      <c r="F199" s="1" t="s">
        <v>11</v>
      </c>
      <c r="G199" s="1">
        <v>827.07</v>
      </c>
    </row>
    <row r="200">
      <c r="A200" s="1" t="s">
        <v>332</v>
      </c>
      <c r="B200" s="2">
        <v>45522.0</v>
      </c>
      <c r="C200" s="1" t="s">
        <v>44</v>
      </c>
      <c r="D200" s="1" t="s">
        <v>72</v>
      </c>
      <c r="E200" s="1" t="s">
        <v>19</v>
      </c>
      <c r="F200" s="1" t="s">
        <v>15</v>
      </c>
      <c r="G200" s="1">
        <v>7341.35</v>
      </c>
    </row>
    <row r="201">
      <c r="A201" s="1" t="s">
        <v>333</v>
      </c>
      <c r="B201" s="4">
        <v>45427.0</v>
      </c>
      <c r="C201" s="1" t="s">
        <v>186</v>
      </c>
      <c r="D201" s="1" t="s">
        <v>39</v>
      </c>
      <c r="E201" s="1" t="s">
        <v>19</v>
      </c>
      <c r="F201" s="1" t="s">
        <v>33</v>
      </c>
      <c r="G201" s="1">
        <v>29692.57</v>
      </c>
    </row>
    <row r="202">
      <c r="A202" s="1" t="s">
        <v>334</v>
      </c>
      <c r="B202" s="2">
        <v>45549.0</v>
      </c>
      <c r="C202" s="1" t="s">
        <v>250</v>
      </c>
      <c r="D202" s="1" t="s">
        <v>18</v>
      </c>
      <c r="E202" s="1" t="s">
        <v>19</v>
      </c>
      <c r="F202" s="1" t="s">
        <v>33</v>
      </c>
      <c r="G202" s="1">
        <v>21152.45</v>
      </c>
    </row>
    <row r="203">
      <c r="A203" s="1" t="s">
        <v>335</v>
      </c>
      <c r="B203" s="2">
        <v>45327.0</v>
      </c>
      <c r="C203" s="1" t="s">
        <v>336</v>
      </c>
      <c r="D203" s="1" t="s">
        <v>176</v>
      </c>
      <c r="E203" s="1" t="s">
        <v>19</v>
      </c>
      <c r="F203" s="1" t="s">
        <v>11</v>
      </c>
      <c r="G203" s="1">
        <v>2124.25</v>
      </c>
    </row>
    <row r="204">
      <c r="A204" s="1" t="s">
        <v>337</v>
      </c>
      <c r="B204" s="6">
        <v>45342.0</v>
      </c>
      <c r="C204" s="1" t="s">
        <v>17</v>
      </c>
      <c r="D204" s="1" t="s">
        <v>176</v>
      </c>
      <c r="E204" s="1" t="s">
        <v>19</v>
      </c>
      <c r="F204" s="1" t="s">
        <v>11</v>
      </c>
      <c r="G204" s="1">
        <v>1297.55</v>
      </c>
    </row>
    <row r="205">
      <c r="A205" s="1" t="s">
        <v>338</v>
      </c>
      <c r="B205" s="2">
        <v>45347.0</v>
      </c>
      <c r="C205" s="1" t="s">
        <v>133</v>
      </c>
      <c r="D205" s="1" t="s">
        <v>22</v>
      </c>
      <c r="E205" s="1" t="s">
        <v>23</v>
      </c>
      <c r="F205" s="1" t="s">
        <v>11</v>
      </c>
      <c r="G205" s="1">
        <v>2669.88</v>
      </c>
    </row>
    <row r="206">
      <c r="A206" s="1" t="s">
        <v>339</v>
      </c>
      <c r="B206" s="2">
        <v>45530.0</v>
      </c>
      <c r="C206" s="1" t="s">
        <v>41</v>
      </c>
      <c r="D206" s="1" t="s">
        <v>171</v>
      </c>
      <c r="E206" s="1" t="s">
        <v>23</v>
      </c>
      <c r="F206" s="1" t="s">
        <v>11</v>
      </c>
      <c r="G206" s="1">
        <v>2230.48</v>
      </c>
    </row>
    <row r="207">
      <c r="A207" s="1" t="s">
        <v>340</v>
      </c>
      <c r="B207" s="2">
        <v>45519.0</v>
      </c>
      <c r="C207" s="1" t="s">
        <v>64</v>
      </c>
      <c r="D207" s="1" t="s">
        <v>29</v>
      </c>
      <c r="E207" s="1" t="s">
        <v>23</v>
      </c>
      <c r="F207" s="1" t="s">
        <v>11</v>
      </c>
      <c r="G207" s="1">
        <v>357.18</v>
      </c>
    </row>
    <row r="208">
      <c r="A208" s="1" t="s">
        <v>341</v>
      </c>
      <c r="B208" s="2">
        <v>45753.0</v>
      </c>
      <c r="C208" s="1" t="s">
        <v>232</v>
      </c>
      <c r="D208" s="1" t="s">
        <v>202</v>
      </c>
      <c r="E208" s="1" t="s">
        <v>23</v>
      </c>
      <c r="F208" s="1" t="s">
        <v>15</v>
      </c>
      <c r="G208" s="1">
        <v>2655.12</v>
      </c>
    </row>
    <row r="209">
      <c r="A209" s="1" t="s">
        <v>342</v>
      </c>
      <c r="B209" s="1" t="s">
        <v>343</v>
      </c>
      <c r="C209" s="1" t="s">
        <v>133</v>
      </c>
      <c r="D209" s="1" t="s">
        <v>65</v>
      </c>
      <c r="E209" s="1" t="s">
        <v>23</v>
      </c>
      <c r="F209" s="1" t="s">
        <v>11</v>
      </c>
      <c r="G209" s="1">
        <v>986.77</v>
      </c>
    </row>
    <row r="210">
      <c r="A210" s="1" t="s">
        <v>344</v>
      </c>
      <c r="B210" s="3">
        <v>45302.0</v>
      </c>
      <c r="C210" s="1" t="s">
        <v>345</v>
      </c>
      <c r="D210" s="1" t="s">
        <v>39</v>
      </c>
      <c r="E210" s="1" t="s">
        <v>19</v>
      </c>
      <c r="F210" s="1" t="s">
        <v>15</v>
      </c>
      <c r="G210" s="1">
        <v>3955.88</v>
      </c>
    </row>
    <row r="211">
      <c r="A211" s="1" t="s">
        <v>346</v>
      </c>
      <c r="B211" s="2">
        <v>45546.0</v>
      </c>
      <c r="C211" s="1" t="s">
        <v>186</v>
      </c>
      <c r="D211" s="1" t="s">
        <v>72</v>
      </c>
      <c r="E211" s="1" t="s">
        <v>19</v>
      </c>
      <c r="F211" s="1" t="s">
        <v>33</v>
      </c>
      <c r="G211" s="1">
        <v>13685.2</v>
      </c>
    </row>
    <row r="212">
      <c r="A212" s="1" t="s">
        <v>347</v>
      </c>
      <c r="B212" s="2">
        <v>45614.0</v>
      </c>
      <c r="C212" s="1" t="s">
        <v>348</v>
      </c>
      <c r="D212" s="1" t="s">
        <v>32</v>
      </c>
      <c r="E212" s="1" t="s">
        <v>10</v>
      </c>
      <c r="F212" s="1" t="s">
        <v>11</v>
      </c>
      <c r="G212" s="1">
        <v>1516.14</v>
      </c>
    </row>
    <row r="213">
      <c r="A213" s="1" t="s">
        <v>349</v>
      </c>
      <c r="B213" s="2">
        <v>45480.0</v>
      </c>
      <c r="C213" s="1" t="s">
        <v>320</v>
      </c>
      <c r="D213" s="1" t="s">
        <v>55</v>
      </c>
      <c r="E213" s="1" t="s">
        <v>10</v>
      </c>
      <c r="F213" s="1" t="s">
        <v>15</v>
      </c>
      <c r="G213" s="1">
        <v>2941.33</v>
      </c>
    </row>
    <row r="214">
      <c r="A214" s="1" t="s">
        <v>350</v>
      </c>
      <c r="B214" s="2">
        <v>45545.0</v>
      </c>
      <c r="C214" s="1" t="s">
        <v>14</v>
      </c>
      <c r="D214" s="1" t="s">
        <v>32</v>
      </c>
      <c r="E214" s="1" t="s">
        <v>10</v>
      </c>
      <c r="F214" s="1" t="s">
        <v>15</v>
      </c>
      <c r="G214" s="1">
        <v>10557.97</v>
      </c>
    </row>
    <row r="215">
      <c r="A215" s="1" t="s">
        <v>351</v>
      </c>
      <c r="B215" s="2">
        <v>45675.0</v>
      </c>
      <c r="C215" s="1" t="s">
        <v>242</v>
      </c>
      <c r="D215" s="1" t="s">
        <v>76</v>
      </c>
      <c r="E215" s="1" t="s">
        <v>10</v>
      </c>
      <c r="F215" s="1" t="s">
        <v>15</v>
      </c>
      <c r="G215" s="1">
        <v>7111.23</v>
      </c>
    </row>
    <row r="216">
      <c r="A216" s="1" t="s">
        <v>352</v>
      </c>
      <c r="B216" s="2">
        <v>45305.0</v>
      </c>
      <c r="C216" s="1" t="s">
        <v>61</v>
      </c>
      <c r="D216" s="1" t="s">
        <v>32</v>
      </c>
      <c r="E216" s="1" t="s">
        <v>10</v>
      </c>
      <c r="F216" s="1" t="s">
        <v>11</v>
      </c>
      <c r="G216" s="1">
        <v>886.57</v>
      </c>
    </row>
    <row r="217">
      <c r="A217" s="1" t="s">
        <v>353</v>
      </c>
      <c r="B217" s="2">
        <v>45323.0</v>
      </c>
      <c r="C217" s="1" t="s">
        <v>279</v>
      </c>
      <c r="D217" s="1" t="s">
        <v>65</v>
      </c>
      <c r="E217" s="1" t="s">
        <v>23</v>
      </c>
      <c r="F217" s="1" t="s">
        <v>15</v>
      </c>
      <c r="G217" s="1">
        <v>7595.4</v>
      </c>
    </row>
    <row r="218">
      <c r="A218" s="1" t="s">
        <v>354</v>
      </c>
      <c r="B218" s="6">
        <v>45777.0</v>
      </c>
      <c r="C218" s="1" t="s">
        <v>78</v>
      </c>
      <c r="D218" s="1" t="s">
        <v>65</v>
      </c>
      <c r="E218" s="1" t="s">
        <v>23</v>
      </c>
      <c r="F218" s="1" t="s">
        <v>11</v>
      </c>
      <c r="G218" s="1">
        <v>2843.85</v>
      </c>
    </row>
    <row r="219">
      <c r="A219" s="1" t="s">
        <v>355</v>
      </c>
      <c r="B219" s="2">
        <v>45684.0</v>
      </c>
      <c r="C219" s="1" t="s">
        <v>69</v>
      </c>
      <c r="D219" s="1" t="s">
        <v>50</v>
      </c>
      <c r="E219" s="1" t="s">
        <v>10</v>
      </c>
      <c r="F219" s="1" t="s">
        <v>15</v>
      </c>
      <c r="G219" s="1">
        <v>7622.36</v>
      </c>
    </row>
    <row r="220">
      <c r="A220" s="1" t="s">
        <v>356</v>
      </c>
      <c r="B220" s="2">
        <v>45822.0</v>
      </c>
      <c r="C220" s="1" t="s">
        <v>279</v>
      </c>
      <c r="D220" s="1" t="s">
        <v>22</v>
      </c>
      <c r="E220" s="1" t="s">
        <v>23</v>
      </c>
      <c r="F220" s="1" t="s">
        <v>15</v>
      </c>
      <c r="G220" s="1">
        <v>10492.83</v>
      </c>
    </row>
    <row r="221">
      <c r="A221" s="1" t="s">
        <v>357</v>
      </c>
      <c r="B221" s="2">
        <v>45662.0</v>
      </c>
      <c r="C221" s="1" t="s">
        <v>17</v>
      </c>
      <c r="D221" s="1" t="s">
        <v>176</v>
      </c>
      <c r="E221" s="1" t="s">
        <v>19</v>
      </c>
      <c r="F221" s="1" t="s">
        <v>11</v>
      </c>
      <c r="G221" s="1">
        <v>3080.11</v>
      </c>
    </row>
    <row r="222">
      <c r="A222" s="1" t="s">
        <v>358</v>
      </c>
      <c r="B222" s="1" t="s">
        <v>169</v>
      </c>
      <c r="C222" s="1" t="s">
        <v>174</v>
      </c>
      <c r="D222" s="1" t="s">
        <v>184</v>
      </c>
      <c r="E222" s="1" t="s">
        <v>23</v>
      </c>
      <c r="F222" s="1" t="s">
        <v>33</v>
      </c>
      <c r="G222" s="1">
        <v>18120.28</v>
      </c>
    </row>
    <row r="223">
      <c r="A223" s="1" t="s">
        <v>359</v>
      </c>
      <c r="B223" s="2">
        <v>45482.0</v>
      </c>
      <c r="C223" s="1" t="s">
        <v>111</v>
      </c>
      <c r="D223" s="1" t="s">
        <v>88</v>
      </c>
      <c r="E223" s="1" t="s">
        <v>10</v>
      </c>
      <c r="F223" s="1" t="s">
        <v>33</v>
      </c>
      <c r="G223" s="1">
        <v>36044.07</v>
      </c>
    </row>
    <row r="224">
      <c r="A224" s="1" t="s">
        <v>360</v>
      </c>
      <c r="B224" s="2">
        <v>45609.0</v>
      </c>
      <c r="C224" s="1" t="s">
        <v>361</v>
      </c>
      <c r="D224" s="1" t="s">
        <v>171</v>
      </c>
      <c r="E224" s="1" t="s">
        <v>23</v>
      </c>
      <c r="F224" s="1" t="s">
        <v>15</v>
      </c>
      <c r="G224" s="1">
        <v>8634.23</v>
      </c>
    </row>
    <row r="225">
      <c r="A225" s="1" t="s">
        <v>362</v>
      </c>
      <c r="B225" s="2">
        <v>45353.0</v>
      </c>
      <c r="C225" s="1" t="s">
        <v>61</v>
      </c>
      <c r="D225" s="1" t="s">
        <v>9</v>
      </c>
      <c r="E225" s="1" t="s">
        <v>10</v>
      </c>
      <c r="F225" s="1" t="s">
        <v>11</v>
      </c>
      <c r="G225" s="1">
        <v>870.84</v>
      </c>
    </row>
    <row r="226">
      <c r="A226" s="1" t="s">
        <v>363</v>
      </c>
      <c r="B226" s="2">
        <v>45828.0</v>
      </c>
      <c r="C226" s="1" t="s">
        <v>174</v>
      </c>
      <c r="D226" s="1" t="s">
        <v>26</v>
      </c>
      <c r="E226" s="1" t="s">
        <v>23</v>
      </c>
      <c r="F226" s="1" t="s">
        <v>33</v>
      </c>
      <c r="G226" s="1">
        <v>22860.33</v>
      </c>
    </row>
    <row r="227">
      <c r="A227" s="1" t="s">
        <v>364</v>
      </c>
      <c r="B227" s="2">
        <v>45308.0</v>
      </c>
      <c r="C227" s="1" t="s">
        <v>111</v>
      </c>
      <c r="D227" s="1" t="s">
        <v>55</v>
      </c>
      <c r="E227" s="1" t="s">
        <v>10</v>
      </c>
      <c r="F227" s="1" t="s">
        <v>33</v>
      </c>
      <c r="G227" s="1">
        <v>16455.67</v>
      </c>
    </row>
    <row r="228">
      <c r="A228" s="1" t="s">
        <v>365</v>
      </c>
      <c r="B228" s="2">
        <v>45619.0</v>
      </c>
      <c r="C228" s="1" t="s">
        <v>186</v>
      </c>
      <c r="D228" s="1" t="s">
        <v>39</v>
      </c>
      <c r="E228" s="1" t="s">
        <v>19</v>
      </c>
      <c r="F228" s="1" t="s">
        <v>33</v>
      </c>
      <c r="G228" s="1">
        <v>35860.61</v>
      </c>
    </row>
    <row r="229">
      <c r="A229" s="1" t="s">
        <v>366</v>
      </c>
      <c r="B229" s="1" t="s">
        <v>234</v>
      </c>
      <c r="C229" s="1" t="s">
        <v>178</v>
      </c>
      <c r="D229" s="1" t="s">
        <v>88</v>
      </c>
      <c r="E229" s="1" t="s">
        <v>10</v>
      </c>
      <c r="F229" s="1" t="s">
        <v>33</v>
      </c>
      <c r="G229" s="1">
        <v>25988.71</v>
      </c>
    </row>
    <row r="230">
      <c r="A230" s="1" t="s">
        <v>367</v>
      </c>
      <c r="B230" s="2">
        <v>45337.0</v>
      </c>
      <c r="C230" s="1" t="s">
        <v>368</v>
      </c>
      <c r="D230" s="1" t="s">
        <v>36</v>
      </c>
      <c r="E230" s="1" t="s">
        <v>19</v>
      </c>
      <c r="F230" s="1" t="s">
        <v>33</v>
      </c>
      <c r="G230" s="1">
        <v>11020.28</v>
      </c>
    </row>
    <row r="231">
      <c r="A231" s="1" t="s">
        <v>369</v>
      </c>
      <c r="B231" s="4">
        <v>45441.0</v>
      </c>
      <c r="C231" s="1" t="s">
        <v>370</v>
      </c>
      <c r="D231" s="1" t="s">
        <v>47</v>
      </c>
      <c r="E231" s="1" t="s">
        <v>10</v>
      </c>
      <c r="F231" s="1" t="s">
        <v>15</v>
      </c>
      <c r="G231" s="1">
        <v>3342.8</v>
      </c>
    </row>
    <row r="232">
      <c r="A232" s="1" t="s">
        <v>371</v>
      </c>
      <c r="B232" s="2">
        <v>45552.0</v>
      </c>
      <c r="C232" s="1" t="s">
        <v>46</v>
      </c>
      <c r="D232" s="1" t="s">
        <v>50</v>
      </c>
      <c r="E232" s="1" t="s">
        <v>10</v>
      </c>
      <c r="F232" s="1" t="s">
        <v>33</v>
      </c>
      <c r="G232" s="1">
        <v>27541.02</v>
      </c>
    </row>
    <row r="233">
      <c r="A233" s="1" t="s">
        <v>372</v>
      </c>
      <c r="B233" s="2">
        <v>45768.0</v>
      </c>
      <c r="C233" s="1" t="s">
        <v>373</v>
      </c>
      <c r="D233" s="1" t="s">
        <v>42</v>
      </c>
      <c r="E233" s="1" t="s">
        <v>23</v>
      </c>
      <c r="F233" s="1" t="s">
        <v>15</v>
      </c>
      <c r="G233" s="1">
        <v>9667.5</v>
      </c>
    </row>
    <row r="234">
      <c r="A234" s="1" t="s">
        <v>374</v>
      </c>
      <c r="B234" s="2">
        <v>45382.0</v>
      </c>
      <c r="C234" s="1" t="s">
        <v>242</v>
      </c>
      <c r="D234" s="1" t="s">
        <v>76</v>
      </c>
      <c r="E234" s="1" t="s">
        <v>10</v>
      </c>
      <c r="F234" s="1" t="s">
        <v>15</v>
      </c>
      <c r="G234" s="1">
        <v>9722.15</v>
      </c>
    </row>
    <row r="235">
      <c r="A235" s="1" t="s">
        <v>375</v>
      </c>
      <c r="B235" s="2">
        <v>45570.0</v>
      </c>
      <c r="C235" s="1" t="s">
        <v>46</v>
      </c>
      <c r="D235" s="1" t="s">
        <v>115</v>
      </c>
      <c r="E235" s="1" t="s">
        <v>10</v>
      </c>
      <c r="F235" s="1" t="s">
        <v>33</v>
      </c>
      <c r="G235" s="1">
        <v>24855.35</v>
      </c>
    </row>
    <row r="236">
      <c r="A236" s="1" t="s">
        <v>376</v>
      </c>
      <c r="B236" s="2">
        <v>45327.0</v>
      </c>
      <c r="C236" s="1" t="s">
        <v>52</v>
      </c>
      <c r="D236" s="1" t="s">
        <v>42</v>
      </c>
      <c r="E236" s="1" t="s">
        <v>23</v>
      </c>
      <c r="F236" s="1" t="s">
        <v>15</v>
      </c>
      <c r="G236" s="1">
        <v>6414.27</v>
      </c>
    </row>
    <row r="237">
      <c r="A237" s="1" t="s">
        <v>377</v>
      </c>
      <c r="B237" s="2">
        <v>45816.0</v>
      </c>
      <c r="C237" s="1" t="s">
        <v>279</v>
      </c>
      <c r="D237" s="1" t="s">
        <v>65</v>
      </c>
      <c r="E237" s="1" t="s">
        <v>23</v>
      </c>
      <c r="F237" s="1" t="s">
        <v>15</v>
      </c>
      <c r="G237" s="1">
        <v>6201.19</v>
      </c>
    </row>
    <row r="238">
      <c r="A238" s="1" t="s">
        <v>378</v>
      </c>
      <c r="B238" s="2">
        <v>45461.0</v>
      </c>
      <c r="C238" s="1" t="s">
        <v>128</v>
      </c>
      <c r="D238" s="1" t="s">
        <v>18</v>
      </c>
      <c r="E238" s="1" t="s">
        <v>19</v>
      </c>
      <c r="F238" s="1" t="s">
        <v>15</v>
      </c>
      <c r="G238" s="1">
        <v>7754.97</v>
      </c>
    </row>
    <row r="239">
      <c r="A239" s="1" t="s">
        <v>379</v>
      </c>
      <c r="B239" s="2">
        <v>45621.0</v>
      </c>
      <c r="C239" s="1" t="s">
        <v>128</v>
      </c>
      <c r="D239" s="1" t="s">
        <v>18</v>
      </c>
      <c r="E239" s="1" t="s">
        <v>19</v>
      </c>
      <c r="F239" s="1" t="s">
        <v>15</v>
      </c>
      <c r="G239" s="1">
        <v>5610.23</v>
      </c>
    </row>
    <row r="240">
      <c r="A240" s="1" t="s">
        <v>380</v>
      </c>
      <c r="B240" s="2">
        <v>45654.0</v>
      </c>
      <c r="C240" s="1" t="s">
        <v>323</v>
      </c>
      <c r="D240" s="1" t="s">
        <v>176</v>
      </c>
      <c r="E240" s="1" t="s">
        <v>19</v>
      </c>
      <c r="F240" s="1" t="s">
        <v>33</v>
      </c>
      <c r="G240" s="1">
        <v>25361.05</v>
      </c>
    </row>
    <row r="241">
      <c r="A241" s="1" t="s">
        <v>381</v>
      </c>
      <c r="B241" s="2">
        <v>45694.0</v>
      </c>
      <c r="C241" s="1" t="s">
        <v>44</v>
      </c>
      <c r="D241" s="1" t="s">
        <v>72</v>
      </c>
      <c r="E241" s="1" t="s">
        <v>19</v>
      </c>
      <c r="F241" s="1" t="s">
        <v>15</v>
      </c>
      <c r="G241" s="1">
        <v>10584.39</v>
      </c>
    </row>
    <row r="242">
      <c r="A242" s="1" t="s">
        <v>382</v>
      </c>
      <c r="B242" s="2">
        <v>45635.0</v>
      </c>
      <c r="C242" s="1" t="s">
        <v>31</v>
      </c>
      <c r="D242" s="1" t="s">
        <v>62</v>
      </c>
      <c r="E242" s="1" t="s">
        <v>10</v>
      </c>
      <c r="F242" s="1" t="s">
        <v>33</v>
      </c>
      <c r="G242" s="1">
        <v>10287.15</v>
      </c>
    </row>
    <row r="243">
      <c r="A243" s="1" t="s">
        <v>383</v>
      </c>
      <c r="B243" s="2">
        <v>45446.0</v>
      </c>
      <c r="C243" s="1" t="s">
        <v>186</v>
      </c>
      <c r="D243" s="1" t="s">
        <v>72</v>
      </c>
      <c r="E243" s="1" t="s">
        <v>19</v>
      </c>
      <c r="F243" s="1" t="s">
        <v>33</v>
      </c>
      <c r="G243" s="1">
        <v>32640.25</v>
      </c>
    </row>
    <row r="244">
      <c r="A244" s="1" t="s">
        <v>384</v>
      </c>
      <c r="B244" s="1" t="s">
        <v>385</v>
      </c>
      <c r="C244" s="1" t="s">
        <v>386</v>
      </c>
      <c r="D244" s="1" t="s">
        <v>32</v>
      </c>
      <c r="E244" s="1" t="s">
        <v>10</v>
      </c>
      <c r="F244" s="1" t="s">
        <v>11</v>
      </c>
      <c r="G244" s="1">
        <v>815.97</v>
      </c>
    </row>
    <row r="245">
      <c r="A245" s="1" t="s">
        <v>387</v>
      </c>
      <c r="B245" s="1" t="s">
        <v>137</v>
      </c>
      <c r="C245" s="1" t="s">
        <v>388</v>
      </c>
      <c r="D245" s="1" t="s">
        <v>39</v>
      </c>
      <c r="E245" s="1" t="s">
        <v>19</v>
      </c>
      <c r="F245" s="1" t="s">
        <v>11</v>
      </c>
      <c r="G245" s="1">
        <v>3388.24</v>
      </c>
    </row>
    <row r="246">
      <c r="A246" s="1" t="s">
        <v>389</v>
      </c>
      <c r="B246" s="2">
        <v>45663.0</v>
      </c>
      <c r="C246" s="1" t="s">
        <v>390</v>
      </c>
      <c r="D246" s="1" t="s">
        <v>36</v>
      </c>
      <c r="E246" s="1" t="s">
        <v>19</v>
      </c>
      <c r="F246" s="1" t="s">
        <v>33</v>
      </c>
    </row>
    <row r="247">
      <c r="A247" s="1" t="s">
        <v>391</v>
      </c>
      <c r="B247" s="2">
        <v>45302.0</v>
      </c>
      <c r="C247" s="1" t="s">
        <v>392</v>
      </c>
      <c r="D247" s="1" t="s">
        <v>50</v>
      </c>
      <c r="E247" s="1" t="s">
        <v>10</v>
      </c>
      <c r="F247" s="1" t="s">
        <v>33</v>
      </c>
      <c r="G247" s="1">
        <v>13839.84</v>
      </c>
    </row>
    <row r="248">
      <c r="A248" s="1" t="s">
        <v>393</v>
      </c>
      <c r="B248" s="2">
        <v>45815.0</v>
      </c>
      <c r="C248" s="1" t="s">
        <v>131</v>
      </c>
      <c r="D248" s="1" t="s">
        <v>39</v>
      </c>
      <c r="E248" s="1" t="s">
        <v>19</v>
      </c>
      <c r="F248" s="1" t="s">
        <v>11</v>
      </c>
      <c r="G248" s="1">
        <v>1653.48</v>
      </c>
    </row>
    <row r="249">
      <c r="A249" s="1" t="s">
        <v>394</v>
      </c>
      <c r="B249" s="2">
        <v>45754.0</v>
      </c>
      <c r="C249" s="1" t="s">
        <v>31</v>
      </c>
      <c r="D249" s="1" t="s">
        <v>62</v>
      </c>
      <c r="E249" s="1" t="s">
        <v>10</v>
      </c>
      <c r="F249" s="1" t="s">
        <v>33</v>
      </c>
      <c r="G249" s="1">
        <v>37771.57</v>
      </c>
    </row>
    <row r="250">
      <c r="A250" s="1" t="s">
        <v>395</v>
      </c>
      <c r="B250" s="2">
        <v>45331.0</v>
      </c>
      <c r="C250" s="1" t="s">
        <v>97</v>
      </c>
      <c r="D250" s="1" t="s">
        <v>36</v>
      </c>
      <c r="E250" s="1" t="s">
        <v>19</v>
      </c>
      <c r="F250" s="1" t="s">
        <v>33</v>
      </c>
      <c r="G250" s="1">
        <v>21644.97</v>
      </c>
    </row>
    <row r="251">
      <c r="A251" s="1" t="s">
        <v>396</v>
      </c>
      <c r="B251" s="1" t="s">
        <v>397</v>
      </c>
      <c r="C251" s="1" t="s">
        <v>183</v>
      </c>
      <c r="D251" s="1" t="s">
        <v>26</v>
      </c>
      <c r="E251" s="1" t="s">
        <v>23</v>
      </c>
      <c r="F251" s="1" t="s">
        <v>33</v>
      </c>
      <c r="G251" s="1">
        <v>30931.71</v>
      </c>
    </row>
    <row r="252">
      <c r="A252" s="1" t="s">
        <v>398</v>
      </c>
      <c r="B252" s="3">
        <v>45935.0</v>
      </c>
      <c r="C252" s="1" t="s">
        <v>38</v>
      </c>
      <c r="D252" s="1" t="s">
        <v>36</v>
      </c>
      <c r="E252" s="1" t="s">
        <v>19</v>
      </c>
      <c r="F252" s="1" t="s">
        <v>11</v>
      </c>
      <c r="G252" s="1">
        <v>1060.47</v>
      </c>
    </row>
    <row r="253">
      <c r="A253" s="1" t="s">
        <v>399</v>
      </c>
      <c r="B253" s="2">
        <v>45720.0</v>
      </c>
      <c r="C253" s="1" t="s">
        <v>400</v>
      </c>
      <c r="D253" s="1" t="s">
        <v>39</v>
      </c>
      <c r="E253" s="1" t="s">
        <v>19</v>
      </c>
      <c r="F253" s="1" t="s">
        <v>33</v>
      </c>
      <c r="G253" s="1">
        <v>39345.11</v>
      </c>
    </row>
    <row r="254">
      <c r="A254" s="1" t="s">
        <v>401</v>
      </c>
      <c r="B254" s="2">
        <v>45729.0</v>
      </c>
      <c r="C254" s="1" t="s">
        <v>52</v>
      </c>
      <c r="D254" s="1" t="s">
        <v>107</v>
      </c>
      <c r="E254" s="1" t="s">
        <v>23</v>
      </c>
      <c r="F254" s="1" t="s">
        <v>15</v>
      </c>
      <c r="G254" s="1">
        <v>10541.46</v>
      </c>
    </row>
    <row r="255">
      <c r="A255" s="1" t="s">
        <v>402</v>
      </c>
      <c r="B255" s="3">
        <v>45353.0</v>
      </c>
      <c r="C255" s="1" t="s">
        <v>147</v>
      </c>
      <c r="D255" s="1" t="s">
        <v>39</v>
      </c>
      <c r="E255" s="1" t="s">
        <v>19</v>
      </c>
      <c r="F255" s="1" t="s">
        <v>33</v>
      </c>
      <c r="G255" s="1">
        <v>11356.48</v>
      </c>
    </row>
    <row r="256">
      <c r="A256" s="1" t="s">
        <v>403</v>
      </c>
      <c r="B256" s="2">
        <v>45534.0</v>
      </c>
      <c r="C256" s="1" t="s">
        <v>14</v>
      </c>
      <c r="D256" s="1" t="s">
        <v>62</v>
      </c>
      <c r="E256" s="1" t="s">
        <v>10</v>
      </c>
      <c r="F256" s="1" t="s">
        <v>15</v>
      </c>
      <c r="G256" s="1">
        <v>6169.74</v>
      </c>
    </row>
    <row r="257">
      <c r="A257" s="1" t="s">
        <v>404</v>
      </c>
      <c r="B257" s="2">
        <v>45393.0</v>
      </c>
      <c r="C257" s="1" t="s">
        <v>87</v>
      </c>
      <c r="D257" s="1" t="s">
        <v>76</v>
      </c>
      <c r="E257" s="1" t="s">
        <v>10</v>
      </c>
      <c r="F257" s="1" t="s">
        <v>33</v>
      </c>
      <c r="G257" s="1">
        <v>37218.84</v>
      </c>
    </row>
    <row r="258">
      <c r="A258" s="1" t="s">
        <v>405</v>
      </c>
      <c r="B258" s="2">
        <v>45441.0</v>
      </c>
      <c r="C258" s="1" t="s">
        <v>59</v>
      </c>
      <c r="D258" s="1" t="s">
        <v>72</v>
      </c>
      <c r="E258" s="1" t="s">
        <v>19</v>
      </c>
      <c r="F258" s="1" t="s">
        <v>15</v>
      </c>
      <c r="G258" s="1">
        <v>6976.26</v>
      </c>
    </row>
    <row r="259">
      <c r="A259" s="1" t="s">
        <v>406</v>
      </c>
      <c r="B259" s="2">
        <v>45744.0</v>
      </c>
      <c r="C259" s="1" t="s">
        <v>186</v>
      </c>
      <c r="D259" s="1" t="s">
        <v>72</v>
      </c>
      <c r="E259" s="1" t="s">
        <v>19</v>
      </c>
      <c r="F259" s="1" t="s">
        <v>33</v>
      </c>
      <c r="G259" s="1">
        <v>34544.72</v>
      </c>
    </row>
    <row r="260">
      <c r="A260" s="1" t="s">
        <v>407</v>
      </c>
      <c r="B260" s="2">
        <v>45549.0</v>
      </c>
      <c r="C260" s="1" t="s">
        <v>276</v>
      </c>
      <c r="D260" s="1" t="s">
        <v>115</v>
      </c>
      <c r="E260" s="1" t="s">
        <v>10</v>
      </c>
      <c r="F260" s="1" t="s">
        <v>11</v>
      </c>
      <c r="G260" s="1">
        <v>539.24</v>
      </c>
    </row>
    <row r="261">
      <c r="A261" s="1" t="s">
        <v>408</v>
      </c>
      <c r="B261" s="2">
        <v>45507.0</v>
      </c>
      <c r="C261" s="1" t="s">
        <v>279</v>
      </c>
      <c r="D261" s="1" t="s">
        <v>65</v>
      </c>
      <c r="E261" s="1" t="s">
        <v>23</v>
      </c>
      <c r="F261" s="1" t="s">
        <v>15</v>
      </c>
      <c r="G261" s="1">
        <v>4292.4</v>
      </c>
    </row>
    <row r="262">
      <c r="A262" s="1" t="s">
        <v>409</v>
      </c>
      <c r="B262" s="2">
        <v>45576.0</v>
      </c>
      <c r="C262" s="1" t="s">
        <v>52</v>
      </c>
      <c r="D262" s="1" t="s">
        <v>42</v>
      </c>
      <c r="E262" s="1" t="s">
        <v>23</v>
      </c>
      <c r="F262" s="1" t="s">
        <v>15</v>
      </c>
      <c r="G262" s="1">
        <v>4379.15</v>
      </c>
    </row>
    <row r="263">
      <c r="A263" s="1" t="s">
        <v>410</v>
      </c>
      <c r="B263" s="2">
        <v>45581.0</v>
      </c>
      <c r="C263" s="1" t="s">
        <v>388</v>
      </c>
      <c r="D263" s="1" t="s">
        <v>72</v>
      </c>
      <c r="E263" s="1" t="s">
        <v>19</v>
      </c>
      <c r="F263" s="1" t="s">
        <v>11</v>
      </c>
      <c r="G263" s="1">
        <v>2685.67</v>
      </c>
    </row>
    <row r="264">
      <c r="A264" s="1" t="s">
        <v>411</v>
      </c>
      <c r="B264" s="2">
        <v>45361.0</v>
      </c>
      <c r="C264" s="1" t="s">
        <v>25</v>
      </c>
      <c r="D264" s="1" t="s">
        <v>26</v>
      </c>
      <c r="E264" s="1" t="s">
        <v>23</v>
      </c>
      <c r="F264" s="1" t="s">
        <v>15</v>
      </c>
      <c r="G264" s="1">
        <v>9911.13</v>
      </c>
    </row>
    <row r="265">
      <c r="A265" s="1" t="s">
        <v>412</v>
      </c>
      <c r="B265" s="2">
        <v>45525.0</v>
      </c>
      <c r="C265" s="1" t="s">
        <v>52</v>
      </c>
      <c r="D265" s="1" t="s">
        <v>107</v>
      </c>
      <c r="E265" s="1" t="s">
        <v>23</v>
      </c>
      <c r="F265" s="1" t="s">
        <v>15</v>
      </c>
      <c r="G265" s="1">
        <v>2958.21</v>
      </c>
    </row>
    <row r="266">
      <c r="A266" s="1" t="s">
        <v>413</v>
      </c>
      <c r="B266" s="2">
        <v>45719.0</v>
      </c>
      <c r="C266" s="1" t="s">
        <v>178</v>
      </c>
      <c r="D266" s="1" t="s">
        <v>88</v>
      </c>
      <c r="E266" s="1" t="s">
        <v>10</v>
      </c>
      <c r="F266" s="1" t="s">
        <v>33</v>
      </c>
      <c r="G266" s="1">
        <v>39854.97</v>
      </c>
    </row>
    <row r="267">
      <c r="A267" s="1" t="s">
        <v>414</v>
      </c>
      <c r="B267" s="2">
        <v>45830.0</v>
      </c>
      <c r="C267" s="1" t="s">
        <v>415</v>
      </c>
      <c r="D267" s="1" t="s">
        <v>50</v>
      </c>
      <c r="E267" s="1" t="s">
        <v>10</v>
      </c>
      <c r="F267" s="1" t="s">
        <v>15</v>
      </c>
      <c r="G267" s="1">
        <v>2994.16</v>
      </c>
    </row>
    <row r="268">
      <c r="A268" s="1" t="s">
        <v>416</v>
      </c>
      <c r="B268" s="2">
        <v>45654.0</v>
      </c>
      <c r="C268" s="1" t="s">
        <v>417</v>
      </c>
      <c r="D268" s="1" t="s">
        <v>47</v>
      </c>
      <c r="E268" s="1" t="s">
        <v>10</v>
      </c>
      <c r="F268" s="1" t="s">
        <v>15</v>
      </c>
      <c r="G268" s="1">
        <v>11140.52</v>
      </c>
    </row>
    <row r="269">
      <c r="A269" s="1" t="s">
        <v>418</v>
      </c>
      <c r="B269" s="2">
        <v>45310.0</v>
      </c>
      <c r="C269" s="1" t="s">
        <v>316</v>
      </c>
      <c r="D269" s="1" t="s">
        <v>65</v>
      </c>
      <c r="E269" s="1" t="s">
        <v>23</v>
      </c>
      <c r="F269" s="1" t="s">
        <v>33</v>
      </c>
      <c r="G269" s="1">
        <v>23785.4</v>
      </c>
    </row>
    <row r="270">
      <c r="A270" s="1" t="s">
        <v>419</v>
      </c>
      <c r="B270" s="1" t="s">
        <v>420</v>
      </c>
      <c r="C270" s="1" t="s">
        <v>49</v>
      </c>
      <c r="D270" s="1" t="s">
        <v>47</v>
      </c>
      <c r="E270" s="1" t="s">
        <v>10</v>
      </c>
      <c r="F270" s="1" t="s">
        <v>15</v>
      </c>
      <c r="G270" s="1">
        <v>9685.5</v>
      </c>
    </row>
    <row r="271">
      <c r="A271" s="1" t="s">
        <v>421</v>
      </c>
      <c r="B271" s="2">
        <v>45418.0</v>
      </c>
      <c r="C271" s="1" t="s">
        <v>59</v>
      </c>
      <c r="D271" s="1" t="s">
        <v>36</v>
      </c>
      <c r="E271" s="1" t="s">
        <v>19</v>
      </c>
      <c r="F271" s="1" t="s">
        <v>15</v>
      </c>
      <c r="G271" s="1">
        <v>3965.61</v>
      </c>
    </row>
    <row r="272">
      <c r="A272" s="1" t="s">
        <v>422</v>
      </c>
      <c r="B272" s="2">
        <v>45408.0</v>
      </c>
      <c r="C272" s="1" t="s">
        <v>114</v>
      </c>
      <c r="D272" s="1" t="s">
        <v>47</v>
      </c>
      <c r="E272" s="1" t="s">
        <v>10</v>
      </c>
      <c r="F272" s="1" t="s">
        <v>15</v>
      </c>
      <c r="G272" s="1">
        <v>6206.45</v>
      </c>
    </row>
    <row r="273">
      <c r="A273" s="1" t="s">
        <v>423</v>
      </c>
      <c r="B273" s="2">
        <v>45590.0</v>
      </c>
      <c r="C273" s="1" t="s">
        <v>174</v>
      </c>
      <c r="D273" s="1" t="s">
        <v>26</v>
      </c>
      <c r="E273" s="1" t="s">
        <v>23</v>
      </c>
      <c r="F273" s="1" t="s">
        <v>33</v>
      </c>
      <c r="G273" s="1">
        <v>25718.31</v>
      </c>
    </row>
    <row r="274">
      <c r="A274" s="1" t="s">
        <v>424</v>
      </c>
      <c r="B274" s="2">
        <v>45502.0</v>
      </c>
      <c r="C274" s="1" t="s">
        <v>14</v>
      </c>
      <c r="D274" s="1" t="s">
        <v>62</v>
      </c>
      <c r="E274" s="1" t="s">
        <v>10</v>
      </c>
      <c r="F274" s="1" t="s">
        <v>15</v>
      </c>
      <c r="G274" s="1">
        <v>7401.21</v>
      </c>
    </row>
    <row r="275">
      <c r="A275" s="1" t="s">
        <v>425</v>
      </c>
      <c r="B275" s="2">
        <v>45512.0</v>
      </c>
      <c r="C275" s="1" t="s">
        <v>186</v>
      </c>
      <c r="D275" s="1" t="s">
        <v>72</v>
      </c>
      <c r="E275" s="1" t="s">
        <v>19</v>
      </c>
      <c r="F275" s="1" t="s">
        <v>33</v>
      </c>
      <c r="G275" s="1">
        <v>33739.73</v>
      </c>
    </row>
    <row r="276">
      <c r="A276" s="1" t="s">
        <v>426</v>
      </c>
      <c r="B276" s="2">
        <v>45531.0</v>
      </c>
      <c r="C276" s="1" t="s">
        <v>388</v>
      </c>
      <c r="D276" s="1" t="s">
        <v>36</v>
      </c>
      <c r="E276" s="1" t="s">
        <v>19</v>
      </c>
      <c r="F276" s="1" t="s">
        <v>11</v>
      </c>
      <c r="G276" s="1">
        <v>2621.36</v>
      </c>
    </row>
    <row r="277">
      <c r="A277" s="1" t="s">
        <v>427</v>
      </c>
      <c r="B277" s="2">
        <v>45385.0</v>
      </c>
      <c r="C277" s="1" t="s">
        <v>283</v>
      </c>
      <c r="D277" s="1" t="s">
        <v>171</v>
      </c>
      <c r="E277" s="1" t="s">
        <v>23</v>
      </c>
      <c r="F277" s="1" t="s">
        <v>15</v>
      </c>
      <c r="G277" s="1">
        <v>8172.91</v>
      </c>
    </row>
    <row r="278">
      <c r="A278" s="1" t="s">
        <v>428</v>
      </c>
      <c r="B278" s="2">
        <v>45643.0</v>
      </c>
      <c r="C278" s="1" t="s">
        <v>178</v>
      </c>
      <c r="D278" s="1" t="s">
        <v>55</v>
      </c>
      <c r="E278" s="1" t="s">
        <v>10</v>
      </c>
      <c r="F278" s="1" t="s">
        <v>33</v>
      </c>
      <c r="G278" s="1">
        <v>13066.48</v>
      </c>
    </row>
    <row r="279">
      <c r="A279" s="1" t="s">
        <v>429</v>
      </c>
      <c r="B279" s="2">
        <v>45389.0</v>
      </c>
      <c r="C279" s="1" t="s">
        <v>41</v>
      </c>
      <c r="D279" s="1" t="s">
        <v>107</v>
      </c>
      <c r="E279" s="1" t="s">
        <v>23</v>
      </c>
      <c r="F279" s="1" t="s">
        <v>11</v>
      </c>
      <c r="G279" s="1">
        <v>1375.72</v>
      </c>
    </row>
    <row r="280">
      <c r="A280" s="1" t="s">
        <v>430</v>
      </c>
      <c r="C280" s="1" t="s">
        <v>178</v>
      </c>
      <c r="D280" s="1" t="s">
        <v>55</v>
      </c>
      <c r="E280" s="1" t="s">
        <v>10</v>
      </c>
      <c r="F280" s="1" t="s">
        <v>33</v>
      </c>
      <c r="G280" s="1">
        <v>31387.68</v>
      </c>
    </row>
    <row r="281">
      <c r="A281" s="1" t="s">
        <v>431</v>
      </c>
      <c r="B281" s="3">
        <v>45537.0</v>
      </c>
      <c r="C281" s="1" t="s">
        <v>141</v>
      </c>
      <c r="D281" s="1" t="s">
        <v>62</v>
      </c>
      <c r="E281" s="1" t="s">
        <v>10</v>
      </c>
      <c r="F281" s="1" t="s">
        <v>33</v>
      </c>
      <c r="G281" s="1">
        <v>24789.4</v>
      </c>
    </row>
    <row r="282">
      <c r="A282" s="1" t="s">
        <v>432</v>
      </c>
      <c r="B282" s="2">
        <v>45834.0</v>
      </c>
      <c r="C282" s="1" t="s">
        <v>433</v>
      </c>
      <c r="D282" s="1" t="s">
        <v>72</v>
      </c>
      <c r="E282" s="1" t="s">
        <v>19</v>
      </c>
      <c r="F282" s="1" t="s">
        <v>11</v>
      </c>
      <c r="G282" s="1">
        <v>2025.7</v>
      </c>
    </row>
    <row r="283">
      <c r="A283" s="1" t="s">
        <v>434</v>
      </c>
      <c r="B283" s="2">
        <v>45663.0</v>
      </c>
      <c r="C283" s="1" t="s">
        <v>57</v>
      </c>
      <c r="D283" s="1" t="s">
        <v>22</v>
      </c>
      <c r="E283" s="1" t="s">
        <v>23</v>
      </c>
      <c r="F283" s="1" t="s">
        <v>11</v>
      </c>
      <c r="G283" s="1">
        <v>355.66</v>
      </c>
    </row>
    <row r="284">
      <c r="A284" s="1" t="s">
        <v>435</v>
      </c>
      <c r="B284" s="2">
        <v>45490.0</v>
      </c>
      <c r="C284" s="1" t="s">
        <v>253</v>
      </c>
      <c r="D284" s="1" t="s">
        <v>39</v>
      </c>
      <c r="E284" s="1" t="s">
        <v>19</v>
      </c>
      <c r="F284" s="1" t="s">
        <v>11</v>
      </c>
      <c r="G284" s="1">
        <v>739.97</v>
      </c>
    </row>
    <row r="285">
      <c r="A285" s="1" t="s">
        <v>436</v>
      </c>
      <c r="B285" s="2">
        <v>45579.0</v>
      </c>
      <c r="C285" s="1" t="s">
        <v>331</v>
      </c>
      <c r="D285" s="1" t="s">
        <v>32</v>
      </c>
      <c r="E285" s="1" t="s">
        <v>10</v>
      </c>
      <c r="F285" s="1" t="s">
        <v>11</v>
      </c>
      <c r="G285" s="1">
        <v>1517.92</v>
      </c>
    </row>
    <row r="286">
      <c r="A286" s="1" t="s">
        <v>437</v>
      </c>
      <c r="B286" s="2">
        <v>45484.0</v>
      </c>
      <c r="C286" s="1" t="s">
        <v>368</v>
      </c>
      <c r="D286" s="1" t="s">
        <v>36</v>
      </c>
      <c r="E286" s="1" t="s">
        <v>19</v>
      </c>
      <c r="F286" s="1" t="s">
        <v>33</v>
      </c>
      <c r="G286" s="1">
        <v>23030.2</v>
      </c>
    </row>
    <row r="287">
      <c r="A287" s="1" t="s">
        <v>438</v>
      </c>
      <c r="B287" s="2">
        <v>45348.0</v>
      </c>
      <c r="C287" s="1" t="s">
        <v>159</v>
      </c>
      <c r="D287" s="1" t="s">
        <v>39</v>
      </c>
      <c r="E287" s="1" t="s">
        <v>19</v>
      </c>
      <c r="F287" s="1" t="s">
        <v>11</v>
      </c>
      <c r="G287" s="1">
        <v>563.9</v>
      </c>
    </row>
    <row r="288">
      <c r="A288" s="1" t="s">
        <v>439</v>
      </c>
      <c r="B288" s="2">
        <v>45576.0</v>
      </c>
      <c r="C288" s="1" t="s">
        <v>46</v>
      </c>
      <c r="D288" s="1" t="s">
        <v>115</v>
      </c>
      <c r="E288" s="1" t="s">
        <v>10</v>
      </c>
      <c r="F288" s="1" t="s">
        <v>33</v>
      </c>
      <c r="G288" s="1">
        <v>35172.31</v>
      </c>
    </row>
    <row r="289">
      <c r="A289" s="1" t="s">
        <v>440</v>
      </c>
      <c r="B289" s="6">
        <v>45585.0</v>
      </c>
      <c r="C289" s="1" t="s">
        <v>188</v>
      </c>
      <c r="D289" s="1" t="s">
        <v>115</v>
      </c>
      <c r="E289" s="1" t="s">
        <v>10</v>
      </c>
      <c r="F289" s="1" t="s">
        <v>11</v>
      </c>
      <c r="G289" s="1">
        <v>3000.83</v>
      </c>
    </row>
    <row r="290">
      <c r="A290" s="1" t="s">
        <v>441</v>
      </c>
      <c r="B290" s="2">
        <v>45482.0</v>
      </c>
      <c r="C290" s="1" t="s">
        <v>232</v>
      </c>
      <c r="D290" s="1" t="s">
        <v>202</v>
      </c>
      <c r="E290" s="1" t="s">
        <v>23</v>
      </c>
      <c r="F290" s="1" t="s">
        <v>15</v>
      </c>
      <c r="G290" s="1">
        <v>3166.17</v>
      </c>
    </row>
    <row r="291">
      <c r="A291" s="1" t="s">
        <v>442</v>
      </c>
      <c r="B291" s="2">
        <v>45589.0</v>
      </c>
      <c r="C291" s="1" t="s">
        <v>41</v>
      </c>
      <c r="D291" s="1" t="s">
        <v>42</v>
      </c>
      <c r="E291" s="1" t="s">
        <v>23</v>
      </c>
      <c r="F291" s="1" t="s">
        <v>11</v>
      </c>
      <c r="G291" s="1">
        <v>675.92</v>
      </c>
    </row>
    <row r="292">
      <c r="A292" s="1" t="s">
        <v>443</v>
      </c>
      <c r="B292" s="2">
        <v>45468.0</v>
      </c>
      <c r="C292" s="1" t="s">
        <v>139</v>
      </c>
      <c r="D292" s="1" t="s">
        <v>36</v>
      </c>
      <c r="E292" s="1" t="s">
        <v>19</v>
      </c>
      <c r="F292" s="1" t="s">
        <v>33</v>
      </c>
      <c r="G292" s="1">
        <v>16464.9</v>
      </c>
    </row>
    <row r="293">
      <c r="A293" s="1" t="s">
        <v>444</v>
      </c>
      <c r="B293" s="2">
        <v>45319.0</v>
      </c>
      <c r="C293" s="1" t="s">
        <v>162</v>
      </c>
      <c r="D293" s="1" t="s">
        <v>176</v>
      </c>
      <c r="E293" s="1" t="s">
        <v>19</v>
      </c>
      <c r="F293" s="1" t="s">
        <v>33</v>
      </c>
      <c r="G293" s="1">
        <v>23986.95</v>
      </c>
    </row>
    <row r="294">
      <c r="A294" s="1" t="s">
        <v>445</v>
      </c>
      <c r="B294" s="2">
        <v>45647.0</v>
      </c>
      <c r="C294" s="1" t="s">
        <v>159</v>
      </c>
      <c r="D294" s="1" t="s">
        <v>72</v>
      </c>
      <c r="E294" s="1" t="s">
        <v>19</v>
      </c>
      <c r="F294" s="1" t="s">
        <v>11</v>
      </c>
      <c r="G294" s="1">
        <v>3256.07</v>
      </c>
    </row>
    <row r="295">
      <c r="A295" s="1" t="s">
        <v>446</v>
      </c>
      <c r="B295" s="2">
        <v>45606.0</v>
      </c>
      <c r="C295" s="1" t="s">
        <v>232</v>
      </c>
      <c r="D295" s="1" t="s">
        <v>26</v>
      </c>
      <c r="E295" s="1" t="s">
        <v>23</v>
      </c>
      <c r="F295" s="1" t="s">
        <v>15</v>
      </c>
      <c r="G295" s="1">
        <v>11129.16</v>
      </c>
    </row>
    <row r="296">
      <c r="A296" s="1" t="s">
        <v>447</v>
      </c>
      <c r="B296" s="2">
        <v>45407.0</v>
      </c>
      <c r="C296" s="1" t="s">
        <v>232</v>
      </c>
      <c r="D296" s="1" t="s">
        <v>202</v>
      </c>
      <c r="E296" s="1" t="s">
        <v>23</v>
      </c>
      <c r="F296" s="1" t="s">
        <v>15</v>
      </c>
      <c r="G296" s="1">
        <v>5457.56</v>
      </c>
    </row>
    <row r="297">
      <c r="A297" s="1" t="s">
        <v>448</v>
      </c>
      <c r="B297" s="1" t="s">
        <v>449</v>
      </c>
      <c r="C297" s="1" t="s">
        <v>228</v>
      </c>
      <c r="D297" s="1" t="s">
        <v>76</v>
      </c>
      <c r="E297" s="1" t="s">
        <v>10</v>
      </c>
      <c r="F297" s="1" t="s">
        <v>33</v>
      </c>
      <c r="G297" s="1">
        <v>11129.98</v>
      </c>
    </row>
    <row r="298">
      <c r="A298" s="1" t="s">
        <v>450</v>
      </c>
      <c r="B298" s="2">
        <v>45697.0</v>
      </c>
      <c r="C298" s="1" t="s">
        <v>35</v>
      </c>
      <c r="D298" s="1" t="s">
        <v>39</v>
      </c>
      <c r="E298" s="1" t="s">
        <v>19</v>
      </c>
      <c r="F298" s="1" t="s">
        <v>33</v>
      </c>
      <c r="G298" s="1">
        <v>40799.93</v>
      </c>
    </row>
    <row r="299">
      <c r="A299" s="1" t="s">
        <v>451</v>
      </c>
      <c r="B299" s="2">
        <v>45711.0</v>
      </c>
      <c r="C299" s="1" t="s">
        <v>44</v>
      </c>
      <c r="D299" s="1" t="s">
        <v>72</v>
      </c>
      <c r="E299" s="1" t="s">
        <v>19</v>
      </c>
      <c r="F299" s="1" t="s">
        <v>15</v>
      </c>
      <c r="G299" s="1">
        <v>3853.62</v>
      </c>
    </row>
    <row r="300">
      <c r="A300" s="1" t="s">
        <v>452</v>
      </c>
      <c r="B300" s="2">
        <v>45451.0</v>
      </c>
      <c r="C300" s="1" t="s">
        <v>128</v>
      </c>
      <c r="D300" s="1" t="s">
        <v>176</v>
      </c>
      <c r="E300" s="1" t="s">
        <v>19</v>
      </c>
      <c r="F300" s="1" t="s">
        <v>15</v>
      </c>
      <c r="G300" s="1">
        <v>3226.73</v>
      </c>
    </row>
    <row r="301">
      <c r="A301" s="1" t="s">
        <v>453</v>
      </c>
      <c r="B301" s="6">
        <v>45400.0</v>
      </c>
      <c r="C301" s="1" t="s">
        <v>114</v>
      </c>
      <c r="D301" s="1" t="s">
        <v>47</v>
      </c>
      <c r="E301" s="1" t="s">
        <v>10</v>
      </c>
      <c r="F301" s="1" t="s">
        <v>15</v>
      </c>
      <c r="G301" s="1">
        <v>5822.31</v>
      </c>
    </row>
    <row r="302">
      <c r="A302" s="1" t="s">
        <v>454</v>
      </c>
      <c r="B302" s="2">
        <v>45303.0</v>
      </c>
      <c r="C302" s="1" t="s">
        <v>348</v>
      </c>
      <c r="D302" s="1" t="s">
        <v>9</v>
      </c>
      <c r="E302" s="1" t="s">
        <v>10</v>
      </c>
      <c r="F302" s="1" t="s">
        <v>11</v>
      </c>
      <c r="G302" s="1">
        <v>530.97</v>
      </c>
    </row>
    <row r="303">
      <c r="A303" s="1" t="s">
        <v>455</v>
      </c>
      <c r="B303" s="2">
        <v>45643.0</v>
      </c>
      <c r="C303" s="1" t="s">
        <v>106</v>
      </c>
      <c r="D303" s="1" t="s">
        <v>42</v>
      </c>
      <c r="E303" s="1" t="s">
        <v>23</v>
      </c>
      <c r="F303" s="1" t="s">
        <v>11</v>
      </c>
      <c r="G303" s="1">
        <v>1962.68</v>
      </c>
    </row>
    <row r="304">
      <c r="A304" s="1" t="s">
        <v>456</v>
      </c>
      <c r="C304" s="1" t="s">
        <v>205</v>
      </c>
      <c r="D304" s="1" t="s">
        <v>42</v>
      </c>
      <c r="E304" s="1" t="s">
        <v>23</v>
      </c>
      <c r="F304" s="1" t="s">
        <v>11</v>
      </c>
      <c r="G304" s="1">
        <v>330.0</v>
      </c>
    </row>
    <row r="305">
      <c r="A305" s="1" t="s">
        <v>457</v>
      </c>
      <c r="B305" s="2">
        <v>45790.0</v>
      </c>
      <c r="C305" s="1" t="s">
        <v>17</v>
      </c>
      <c r="D305" s="1" t="s">
        <v>176</v>
      </c>
      <c r="E305" s="1" t="s">
        <v>19</v>
      </c>
      <c r="F305" s="1" t="s">
        <v>11</v>
      </c>
      <c r="G305" s="1">
        <v>3402.8</v>
      </c>
    </row>
    <row r="306">
      <c r="A306" s="1" t="s">
        <v>458</v>
      </c>
      <c r="B306" s="2">
        <v>45782.0</v>
      </c>
      <c r="C306" s="1" t="s">
        <v>8</v>
      </c>
      <c r="D306" s="1" t="s">
        <v>9</v>
      </c>
      <c r="E306" s="1" t="s">
        <v>10</v>
      </c>
      <c r="F306" s="1" t="s">
        <v>11</v>
      </c>
    </row>
    <row r="307">
      <c r="A307" s="1" t="s">
        <v>459</v>
      </c>
      <c r="B307" s="2">
        <v>45314.0</v>
      </c>
      <c r="C307" s="1" t="s">
        <v>323</v>
      </c>
      <c r="D307" s="1" t="s">
        <v>18</v>
      </c>
      <c r="E307" s="1" t="s">
        <v>19</v>
      </c>
      <c r="F307" s="1" t="s">
        <v>33</v>
      </c>
      <c r="G307" s="1">
        <v>15676.25</v>
      </c>
    </row>
    <row r="308">
      <c r="A308" s="1" t="s">
        <v>460</v>
      </c>
      <c r="B308" s="2">
        <v>45715.0</v>
      </c>
      <c r="C308" s="1" t="s">
        <v>461</v>
      </c>
      <c r="D308" s="1" t="s">
        <v>50</v>
      </c>
      <c r="E308" s="1" t="s">
        <v>10</v>
      </c>
      <c r="F308" s="1" t="s">
        <v>33</v>
      </c>
      <c r="G308" s="1">
        <v>29914.68</v>
      </c>
    </row>
    <row r="309">
      <c r="A309" s="1" t="s">
        <v>462</v>
      </c>
      <c r="B309" s="2">
        <v>45532.0</v>
      </c>
      <c r="C309" s="1" t="s">
        <v>386</v>
      </c>
      <c r="D309" s="1" t="s">
        <v>32</v>
      </c>
      <c r="E309" s="1" t="s">
        <v>10</v>
      </c>
      <c r="F309" s="1" t="s">
        <v>11</v>
      </c>
      <c r="G309" s="1">
        <v>2786.63</v>
      </c>
    </row>
    <row r="310">
      <c r="A310" s="1" t="s">
        <v>463</v>
      </c>
      <c r="B310" s="2">
        <v>45626.0</v>
      </c>
      <c r="C310" s="1" t="s">
        <v>57</v>
      </c>
      <c r="D310" s="1" t="s">
        <v>65</v>
      </c>
      <c r="E310" s="1" t="s">
        <v>23</v>
      </c>
      <c r="F310" s="1" t="s">
        <v>11</v>
      </c>
      <c r="G310" s="1">
        <v>2939.78</v>
      </c>
    </row>
    <row r="311">
      <c r="A311" s="1" t="s">
        <v>464</v>
      </c>
      <c r="B311" s="2">
        <v>45790.0</v>
      </c>
      <c r="C311" s="1" t="s">
        <v>133</v>
      </c>
      <c r="D311" s="1" t="s">
        <v>65</v>
      </c>
      <c r="E311" s="1" t="s">
        <v>23</v>
      </c>
      <c r="F311" s="1" t="s">
        <v>11</v>
      </c>
      <c r="G311" s="1">
        <v>1959.19</v>
      </c>
    </row>
    <row r="312">
      <c r="A312" s="1" t="s">
        <v>465</v>
      </c>
      <c r="B312" s="2">
        <v>45732.0</v>
      </c>
      <c r="C312" s="1" t="s">
        <v>28</v>
      </c>
      <c r="D312" s="1" t="s">
        <v>22</v>
      </c>
      <c r="E312" s="1" t="s">
        <v>23</v>
      </c>
      <c r="F312" s="1" t="s">
        <v>11</v>
      </c>
      <c r="G312" s="1">
        <v>3481.97</v>
      </c>
    </row>
    <row r="313">
      <c r="A313" s="1" t="s">
        <v>466</v>
      </c>
      <c r="B313" s="2">
        <v>45342.0</v>
      </c>
      <c r="C313" s="1" t="s">
        <v>316</v>
      </c>
      <c r="D313" s="1" t="s">
        <v>22</v>
      </c>
      <c r="E313" s="1" t="s">
        <v>23</v>
      </c>
      <c r="F313" s="1" t="s">
        <v>33</v>
      </c>
      <c r="G313" s="1">
        <v>19249.2</v>
      </c>
    </row>
    <row r="314">
      <c r="A314" s="1" t="s">
        <v>467</v>
      </c>
      <c r="B314" s="2">
        <v>45476.0</v>
      </c>
      <c r="C314" s="1" t="s">
        <v>279</v>
      </c>
      <c r="D314" s="1" t="s">
        <v>65</v>
      </c>
      <c r="E314" s="1" t="s">
        <v>23</v>
      </c>
      <c r="F314" s="1" t="s">
        <v>15</v>
      </c>
      <c r="G314" s="1">
        <v>10041.97</v>
      </c>
    </row>
    <row r="315">
      <c r="A315" s="1" t="s">
        <v>468</v>
      </c>
      <c r="B315" s="2">
        <v>45539.0</v>
      </c>
      <c r="C315" s="1" t="s">
        <v>247</v>
      </c>
      <c r="D315" s="1" t="s">
        <v>29</v>
      </c>
      <c r="E315" s="1" t="s">
        <v>23</v>
      </c>
      <c r="F315" s="1" t="s">
        <v>33</v>
      </c>
      <c r="G315" s="1">
        <v>27479.94</v>
      </c>
    </row>
    <row r="316">
      <c r="A316" s="1" t="s">
        <v>469</v>
      </c>
      <c r="B316" s="2">
        <v>45690.0</v>
      </c>
      <c r="C316" s="1" t="s">
        <v>106</v>
      </c>
      <c r="D316" s="1" t="s">
        <v>42</v>
      </c>
      <c r="E316" s="1" t="s">
        <v>23</v>
      </c>
      <c r="F316" s="1" t="s">
        <v>11</v>
      </c>
      <c r="G316" s="1">
        <v>1447.33</v>
      </c>
    </row>
    <row r="317">
      <c r="A317" s="1" t="s">
        <v>470</v>
      </c>
      <c r="B317" s="2">
        <v>45650.0</v>
      </c>
      <c r="C317" s="1" t="s">
        <v>471</v>
      </c>
      <c r="D317" s="1" t="s">
        <v>102</v>
      </c>
      <c r="E317" s="1" t="s">
        <v>19</v>
      </c>
      <c r="F317" s="1" t="s">
        <v>11</v>
      </c>
      <c r="G317" s="1">
        <v>2953.07</v>
      </c>
    </row>
    <row r="318">
      <c r="A318" s="1" t="s">
        <v>472</v>
      </c>
      <c r="B318" s="1" t="s">
        <v>113</v>
      </c>
      <c r="C318" s="1" t="s">
        <v>46</v>
      </c>
      <c r="D318" s="1" t="s">
        <v>115</v>
      </c>
      <c r="E318" s="1" t="s">
        <v>10</v>
      </c>
      <c r="F318" s="1" t="s">
        <v>33</v>
      </c>
      <c r="G318" s="1">
        <v>31064.43</v>
      </c>
    </row>
    <row r="319">
      <c r="A319" s="1" t="s">
        <v>473</v>
      </c>
      <c r="B319" s="2">
        <v>45518.0</v>
      </c>
      <c r="C319" s="1" t="s">
        <v>154</v>
      </c>
      <c r="D319" s="1" t="s">
        <v>62</v>
      </c>
      <c r="E319" s="1" t="s">
        <v>10</v>
      </c>
      <c r="F319" s="1" t="s">
        <v>33</v>
      </c>
      <c r="G319" s="1">
        <v>26629.19</v>
      </c>
    </row>
    <row r="320">
      <c r="A320" s="1" t="s">
        <v>474</v>
      </c>
      <c r="B320" s="2">
        <v>45340.0</v>
      </c>
      <c r="C320" s="1" t="s">
        <v>279</v>
      </c>
      <c r="D320" s="1" t="s">
        <v>29</v>
      </c>
      <c r="E320" s="1" t="s">
        <v>23</v>
      </c>
      <c r="F320" s="1" t="s">
        <v>15</v>
      </c>
      <c r="G320" s="1">
        <v>11902.7</v>
      </c>
    </row>
    <row r="321">
      <c r="A321" s="1" t="s">
        <v>475</v>
      </c>
      <c r="B321" s="1" t="s">
        <v>476</v>
      </c>
      <c r="C321" s="1" t="s">
        <v>232</v>
      </c>
      <c r="D321" s="1" t="s">
        <v>202</v>
      </c>
      <c r="E321" s="1" t="s">
        <v>23</v>
      </c>
      <c r="F321" s="1" t="s">
        <v>15</v>
      </c>
      <c r="G321" s="1">
        <v>6143.73</v>
      </c>
    </row>
    <row r="322">
      <c r="A322" s="1" t="s">
        <v>477</v>
      </c>
      <c r="B322" s="2">
        <v>45440.0</v>
      </c>
      <c r="C322" s="1" t="s">
        <v>154</v>
      </c>
      <c r="D322" s="1" t="s">
        <v>9</v>
      </c>
      <c r="E322" s="1" t="s">
        <v>10</v>
      </c>
      <c r="F322" s="1" t="s">
        <v>33</v>
      </c>
      <c r="G322" s="1">
        <v>28309.78</v>
      </c>
    </row>
    <row r="323">
      <c r="A323" s="1" t="s">
        <v>478</v>
      </c>
      <c r="B323" s="2">
        <v>45739.0</v>
      </c>
      <c r="C323" s="1" t="s">
        <v>117</v>
      </c>
      <c r="D323" s="1" t="s">
        <v>62</v>
      </c>
      <c r="E323" s="1" t="s">
        <v>10</v>
      </c>
      <c r="F323" s="1" t="s">
        <v>11</v>
      </c>
      <c r="G323" s="1">
        <v>2523.86</v>
      </c>
    </row>
    <row r="324">
      <c r="A324" s="1" t="s">
        <v>479</v>
      </c>
      <c r="B324" s="1" t="s">
        <v>137</v>
      </c>
      <c r="C324" s="1" t="s">
        <v>35</v>
      </c>
      <c r="D324" s="1" t="s">
        <v>36</v>
      </c>
      <c r="E324" s="1" t="s">
        <v>19</v>
      </c>
      <c r="F324" s="1" t="s">
        <v>33</v>
      </c>
      <c r="G324" s="1">
        <v>22349.51</v>
      </c>
    </row>
    <row r="325">
      <c r="A325" s="1" t="s">
        <v>480</v>
      </c>
      <c r="B325" s="1" t="s">
        <v>113</v>
      </c>
      <c r="C325" s="1" t="s">
        <v>186</v>
      </c>
      <c r="D325" s="1" t="s">
        <v>36</v>
      </c>
      <c r="E325" s="1" t="s">
        <v>19</v>
      </c>
      <c r="F325" s="1" t="s">
        <v>33</v>
      </c>
      <c r="G325" s="1">
        <v>29186.94</v>
      </c>
    </row>
    <row r="326">
      <c r="A326" s="1" t="s">
        <v>481</v>
      </c>
      <c r="B326" s="5">
        <v>45567.0</v>
      </c>
      <c r="C326" s="1" t="s">
        <v>8</v>
      </c>
      <c r="D326" s="1" t="s">
        <v>62</v>
      </c>
      <c r="E326" s="1" t="s">
        <v>10</v>
      </c>
      <c r="F326" s="1" t="s">
        <v>11</v>
      </c>
      <c r="G326" s="1">
        <v>904.1</v>
      </c>
    </row>
    <row r="327">
      <c r="A327" s="1" t="s">
        <v>482</v>
      </c>
      <c r="B327" s="2">
        <v>45617.0</v>
      </c>
      <c r="C327" s="1" t="s">
        <v>316</v>
      </c>
      <c r="D327" s="1" t="s">
        <v>29</v>
      </c>
      <c r="E327" s="1" t="s">
        <v>23</v>
      </c>
      <c r="F327" s="1" t="s">
        <v>33</v>
      </c>
      <c r="G327" s="1">
        <v>26766.65</v>
      </c>
    </row>
    <row r="328">
      <c r="A328" s="1" t="s">
        <v>483</v>
      </c>
      <c r="B328" s="2">
        <v>45473.0</v>
      </c>
      <c r="C328" s="1" t="s">
        <v>159</v>
      </c>
      <c r="D328" s="1" t="s">
        <v>72</v>
      </c>
      <c r="E328" s="1" t="s">
        <v>19</v>
      </c>
      <c r="F328" s="1" t="s">
        <v>11</v>
      </c>
      <c r="G328" s="1">
        <v>2794.22</v>
      </c>
    </row>
    <row r="329">
      <c r="A329" s="1" t="s">
        <v>484</v>
      </c>
      <c r="B329" s="2">
        <v>45298.0</v>
      </c>
      <c r="C329" s="1" t="s">
        <v>57</v>
      </c>
      <c r="D329" s="1" t="s">
        <v>65</v>
      </c>
      <c r="E329" s="1" t="s">
        <v>23</v>
      </c>
      <c r="F329" s="1" t="s">
        <v>11</v>
      </c>
      <c r="G329" s="1">
        <v>3181.76</v>
      </c>
    </row>
    <row r="330">
      <c r="A330" s="1" t="s">
        <v>485</v>
      </c>
      <c r="B330" s="2">
        <v>45312.0</v>
      </c>
      <c r="C330" s="1" t="s">
        <v>279</v>
      </c>
      <c r="D330" s="1" t="s">
        <v>65</v>
      </c>
      <c r="E330" s="1" t="s">
        <v>23</v>
      </c>
      <c r="F330" s="1" t="s">
        <v>15</v>
      </c>
      <c r="G330" s="1">
        <v>2989.6</v>
      </c>
    </row>
    <row r="331">
      <c r="A331" s="1" t="s">
        <v>486</v>
      </c>
      <c r="B331" s="1" t="s">
        <v>137</v>
      </c>
      <c r="C331" s="1" t="s">
        <v>293</v>
      </c>
      <c r="D331" s="1" t="s">
        <v>55</v>
      </c>
      <c r="E331" s="1" t="s">
        <v>10</v>
      </c>
      <c r="F331" s="1" t="s">
        <v>33</v>
      </c>
      <c r="G331" s="1">
        <v>31422.68</v>
      </c>
    </row>
    <row r="332">
      <c r="A332" s="1" t="s">
        <v>487</v>
      </c>
      <c r="B332" s="2">
        <v>45696.0</v>
      </c>
      <c r="C332" s="1" t="s">
        <v>128</v>
      </c>
      <c r="D332" s="1" t="s">
        <v>102</v>
      </c>
      <c r="E332" s="1" t="s">
        <v>19</v>
      </c>
      <c r="F332" s="1" t="s">
        <v>15</v>
      </c>
      <c r="G332" s="1">
        <v>9159.91</v>
      </c>
    </row>
    <row r="333">
      <c r="A333" s="1" t="s">
        <v>488</v>
      </c>
      <c r="B333" s="2">
        <v>45670.0</v>
      </c>
      <c r="C333" s="1" t="s">
        <v>388</v>
      </c>
      <c r="D333" s="1" t="s">
        <v>39</v>
      </c>
      <c r="E333" s="1" t="s">
        <v>19</v>
      </c>
      <c r="F333" s="1" t="s">
        <v>11</v>
      </c>
      <c r="G333" s="1">
        <v>1106.63</v>
      </c>
    </row>
    <row r="334">
      <c r="A334" s="1" t="s">
        <v>489</v>
      </c>
      <c r="B334" s="2">
        <v>45375.0</v>
      </c>
      <c r="C334" s="1" t="s">
        <v>490</v>
      </c>
      <c r="D334" s="1" t="s">
        <v>29</v>
      </c>
      <c r="E334" s="1" t="s">
        <v>23</v>
      </c>
      <c r="F334" s="1" t="s">
        <v>33</v>
      </c>
      <c r="G334" s="1">
        <v>9705.9</v>
      </c>
    </row>
    <row r="335">
      <c r="A335" s="1" t="s">
        <v>491</v>
      </c>
      <c r="B335" s="2">
        <v>45329.0</v>
      </c>
      <c r="C335" s="1" t="s">
        <v>492</v>
      </c>
      <c r="D335" s="1" t="s">
        <v>62</v>
      </c>
      <c r="E335" s="1" t="s">
        <v>10</v>
      </c>
      <c r="F335" s="1" t="s">
        <v>11</v>
      </c>
      <c r="G335" s="1">
        <v>483.4</v>
      </c>
    </row>
    <row r="336">
      <c r="A336" s="1" t="s">
        <v>493</v>
      </c>
      <c r="B336" s="2">
        <v>45572.0</v>
      </c>
      <c r="C336" s="1" t="s">
        <v>196</v>
      </c>
      <c r="D336" s="1" t="s">
        <v>76</v>
      </c>
      <c r="E336" s="1" t="s">
        <v>10</v>
      </c>
      <c r="F336" s="1" t="s">
        <v>15</v>
      </c>
      <c r="G336" s="1">
        <v>7671.0</v>
      </c>
    </row>
    <row r="337">
      <c r="A337" s="1" t="s">
        <v>494</v>
      </c>
      <c r="B337" s="2">
        <v>45384.0</v>
      </c>
      <c r="C337" s="1" t="s">
        <v>38</v>
      </c>
      <c r="D337" s="1" t="s">
        <v>39</v>
      </c>
      <c r="E337" s="1" t="s">
        <v>19</v>
      </c>
      <c r="F337" s="1" t="s">
        <v>11</v>
      </c>
      <c r="G337" s="1">
        <v>2505.12</v>
      </c>
    </row>
    <row r="338">
      <c r="A338" s="1" t="s">
        <v>495</v>
      </c>
      <c r="B338" s="2">
        <v>45765.0</v>
      </c>
      <c r="C338" s="1" t="s">
        <v>496</v>
      </c>
      <c r="D338" s="1" t="s">
        <v>9</v>
      </c>
      <c r="E338" s="1" t="s">
        <v>10</v>
      </c>
      <c r="F338" s="1" t="s">
        <v>11</v>
      </c>
      <c r="G338" s="1">
        <v>1524.72</v>
      </c>
    </row>
    <row r="339">
      <c r="A339" s="1" t="s">
        <v>497</v>
      </c>
      <c r="B339" s="1" t="s">
        <v>498</v>
      </c>
      <c r="C339" s="1" t="s">
        <v>69</v>
      </c>
      <c r="D339" s="1" t="s">
        <v>50</v>
      </c>
      <c r="E339" s="1" t="s">
        <v>10</v>
      </c>
      <c r="F339" s="1" t="s">
        <v>15</v>
      </c>
      <c r="G339" s="1">
        <v>7162.43</v>
      </c>
    </row>
    <row r="340">
      <c r="A340" s="1" t="s">
        <v>499</v>
      </c>
      <c r="B340" s="1" t="s">
        <v>500</v>
      </c>
      <c r="C340" s="1" t="s">
        <v>178</v>
      </c>
      <c r="D340" s="1" t="s">
        <v>88</v>
      </c>
      <c r="E340" s="1" t="s">
        <v>10</v>
      </c>
      <c r="F340" s="1" t="s">
        <v>33</v>
      </c>
      <c r="G340" s="1">
        <v>19320.07</v>
      </c>
    </row>
    <row r="341">
      <c r="A341" s="1" t="s">
        <v>501</v>
      </c>
      <c r="B341" s="1" t="s">
        <v>156</v>
      </c>
      <c r="C341" s="1" t="s">
        <v>276</v>
      </c>
      <c r="D341" s="1" t="s">
        <v>47</v>
      </c>
      <c r="E341" s="1" t="s">
        <v>10</v>
      </c>
      <c r="F341" s="1" t="s">
        <v>11</v>
      </c>
      <c r="G341" s="1">
        <v>1523.01</v>
      </c>
    </row>
    <row r="342">
      <c r="A342" s="1" t="s">
        <v>502</v>
      </c>
      <c r="B342" s="2">
        <v>45471.0</v>
      </c>
      <c r="C342" s="1" t="s">
        <v>61</v>
      </c>
      <c r="D342" s="1" t="s">
        <v>32</v>
      </c>
      <c r="E342" s="1" t="s">
        <v>10</v>
      </c>
      <c r="F342" s="1" t="s">
        <v>11</v>
      </c>
      <c r="G342" s="1">
        <v>870.14</v>
      </c>
    </row>
    <row r="343">
      <c r="A343" s="1" t="s">
        <v>503</v>
      </c>
      <c r="B343" s="3">
        <v>45992.0</v>
      </c>
      <c r="C343" s="1" t="s">
        <v>131</v>
      </c>
      <c r="D343" s="1" t="s">
        <v>36</v>
      </c>
      <c r="E343" s="1" t="s">
        <v>19</v>
      </c>
      <c r="F343" s="1" t="s">
        <v>11</v>
      </c>
      <c r="G343" s="1">
        <v>2475.23</v>
      </c>
    </row>
    <row r="344">
      <c r="A344" s="1" t="s">
        <v>504</v>
      </c>
      <c r="B344" s="2">
        <v>45556.0</v>
      </c>
      <c r="C344" s="1" t="s">
        <v>196</v>
      </c>
      <c r="D344" s="1" t="s">
        <v>76</v>
      </c>
      <c r="E344" s="1" t="s">
        <v>10</v>
      </c>
      <c r="F344" s="1" t="s">
        <v>15</v>
      </c>
      <c r="G344" s="1">
        <v>5887.23</v>
      </c>
    </row>
    <row r="345">
      <c r="A345" s="1" t="s">
        <v>505</v>
      </c>
      <c r="B345" s="2">
        <v>45602.0</v>
      </c>
      <c r="C345" s="1" t="s">
        <v>52</v>
      </c>
      <c r="D345" s="1" t="s">
        <v>107</v>
      </c>
      <c r="E345" s="1" t="s">
        <v>23</v>
      </c>
      <c r="F345" s="1" t="s">
        <v>15</v>
      </c>
      <c r="G345" s="1">
        <v>7781.61</v>
      </c>
    </row>
    <row r="346">
      <c r="A346" s="1" t="s">
        <v>506</v>
      </c>
      <c r="B346" s="2">
        <v>45725.0</v>
      </c>
      <c r="C346" s="1" t="s">
        <v>196</v>
      </c>
      <c r="D346" s="1" t="s">
        <v>76</v>
      </c>
      <c r="E346" s="1" t="s">
        <v>10</v>
      </c>
      <c r="F346" s="1" t="s">
        <v>15</v>
      </c>
      <c r="G346" s="1">
        <v>4937.68</v>
      </c>
    </row>
    <row r="347">
      <c r="A347" s="1" t="s">
        <v>507</v>
      </c>
      <c r="B347" s="6">
        <v>45625.0</v>
      </c>
      <c r="C347" s="1" t="s">
        <v>196</v>
      </c>
      <c r="D347" s="1" t="s">
        <v>55</v>
      </c>
      <c r="E347" s="1" t="s">
        <v>10</v>
      </c>
      <c r="F347" s="1" t="s">
        <v>15</v>
      </c>
      <c r="G347" s="1">
        <v>7945.44</v>
      </c>
    </row>
    <row r="348">
      <c r="A348" s="1" t="s">
        <v>508</v>
      </c>
      <c r="B348" s="1" t="s">
        <v>137</v>
      </c>
      <c r="C348" s="1" t="s">
        <v>196</v>
      </c>
      <c r="D348" s="1" t="s">
        <v>76</v>
      </c>
      <c r="E348" s="1" t="s">
        <v>10</v>
      </c>
      <c r="F348" s="1" t="s">
        <v>15</v>
      </c>
    </row>
    <row r="349">
      <c r="A349" s="1" t="s">
        <v>509</v>
      </c>
      <c r="B349" s="2">
        <v>45433.0</v>
      </c>
      <c r="C349" s="1" t="s">
        <v>510</v>
      </c>
      <c r="D349" s="1" t="s">
        <v>42</v>
      </c>
      <c r="E349" s="1" t="s">
        <v>23</v>
      </c>
      <c r="F349" s="1" t="s">
        <v>11</v>
      </c>
      <c r="G349" s="1">
        <v>2170.82</v>
      </c>
    </row>
    <row r="350">
      <c r="A350" s="1" t="s">
        <v>511</v>
      </c>
      <c r="B350" s="2">
        <v>45658.0</v>
      </c>
      <c r="C350" s="1" t="s">
        <v>61</v>
      </c>
      <c r="D350" s="1" t="s">
        <v>9</v>
      </c>
      <c r="E350" s="1" t="s">
        <v>10</v>
      </c>
      <c r="F350" s="1" t="s">
        <v>11</v>
      </c>
      <c r="G350" s="1">
        <v>2256.43</v>
      </c>
    </row>
    <row r="351">
      <c r="A351" s="1" t="s">
        <v>512</v>
      </c>
      <c r="B351" s="1" t="s">
        <v>513</v>
      </c>
      <c r="C351" s="1" t="s">
        <v>69</v>
      </c>
      <c r="D351" s="1" t="s">
        <v>47</v>
      </c>
      <c r="E351" s="1" t="s">
        <v>10</v>
      </c>
      <c r="F351" s="1" t="s">
        <v>15</v>
      </c>
      <c r="G351" s="1">
        <v>9259.32</v>
      </c>
    </row>
    <row r="352">
      <c r="A352" s="1" t="s">
        <v>514</v>
      </c>
      <c r="B352" s="2">
        <v>45725.0</v>
      </c>
      <c r="C352" s="1" t="s">
        <v>117</v>
      </c>
      <c r="D352" s="1" t="s">
        <v>62</v>
      </c>
      <c r="E352" s="1" t="s">
        <v>10</v>
      </c>
      <c r="F352" s="1" t="s">
        <v>11</v>
      </c>
      <c r="G352" s="1">
        <v>1797.14</v>
      </c>
    </row>
    <row r="353">
      <c r="A353" s="1" t="s">
        <v>515</v>
      </c>
      <c r="B353" s="2">
        <v>45798.0</v>
      </c>
      <c r="C353" s="1" t="s">
        <v>104</v>
      </c>
      <c r="D353" s="1" t="s">
        <v>176</v>
      </c>
      <c r="E353" s="1" t="s">
        <v>19</v>
      </c>
      <c r="F353" s="1" t="s">
        <v>15</v>
      </c>
      <c r="G353" s="1">
        <v>8856.32</v>
      </c>
    </row>
    <row r="354">
      <c r="A354" s="1" t="s">
        <v>516</v>
      </c>
      <c r="B354" s="2">
        <v>45456.0</v>
      </c>
      <c r="C354" s="1" t="s">
        <v>400</v>
      </c>
      <c r="D354" s="1" t="s">
        <v>39</v>
      </c>
      <c r="E354" s="1" t="s">
        <v>19</v>
      </c>
      <c r="F354" s="1" t="s">
        <v>33</v>
      </c>
      <c r="G354" s="1">
        <v>23066.1</v>
      </c>
    </row>
    <row r="355">
      <c r="A355" s="1" t="s">
        <v>517</v>
      </c>
      <c r="B355" s="3">
        <v>45451.0</v>
      </c>
      <c r="C355" s="1" t="s">
        <v>57</v>
      </c>
      <c r="D355" s="1" t="s">
        <v>65</v>
      </c>
      <c r="E355" s="1" t="s">
        <v>23</v>
      </c>
      <c r="F355" s="1" t="s">
        <v>11</v>
      </c>
      <c r="G355" s="1">
        <v>2569.44</v>
      </c>
    </row>
    <row r="356">
      <c r="A356" s="1" t="s">
        <v>518</v>
      </c>
      <c r="B356" s="2">
        <v>45294.0</v>
      </c>
      <c r="C356" s="1" t="s">
        <v>14</v>
      </c>
      <c r="D356" s="1" t="s">
        <v>62</v>
      </c>
      <c r="E356" s="1" t="s">
        <v>10</v>
      </c>
      <c r="F356" s="1" t="s">
        <v>15</v>
      </c>
      <c r="G356" s="1">
        <v>7180.92</v>
      </c>
    </row>
    <row r="357">
      <c r="A357" s="1" t="s">
        <v>519</v>
      </c>
      <c r="B357" s="2">
        <v>45397.0</v>
      </c>
      <c r="C357" s="1" t="s">
        <v>228</v>
      </c>
      <c r="D357" s="1" t="s">
        <v>88</v>
      </c>
      <c r="E357" s="1" t="s">
        <v>10</v>
      </c>
      <c r="F357" s="1" t="s">
        <v>33</v>
      </c>
      <c r="G357" s="1">
        <v>9390.15</v>
      </c>
    </row>
    <row r="358">
      <c r="A358" s="1" t="s">
        <v>520</v>
      </c>
      <c r="B358" s="2">
        <v>45360.0</v>
      </c>
      <c r="C358" s="1" t="s">
        <v>57</v>
      </c>
      <c r="D358" s="1" t="s">
        <v>65</v>
      </c>
      <c r="E358" s="1" t="s">
        <v>23</v>
      </c>
      <c r="F358" s="1" t="s">
        <v>11</v>
      </c>
      <c r="G358" s="1">
        <v>2687.9</v>
      </c>
    </row>
    <row r="359">
      <c r="A359" s="1" t="s">
        <v>521</v>
      </c>
      <c r="B359" s="3">
        <v>45413.0</v>
      </c>
      <c r="C359" s="1" t="s">
        <v>316</v>
      </c>
      <c r="D359" s="1" t="s">
        <v>29</v>
      </c>
      <c r="E359" s="1" t="s">
        <v>23</v>
      </c>
      <c r="F359" s="1" t="s">
        <v>33</v>
      </c>
      <c r="G359" s="1">
        <v>23157.97</v>
      </c>
    </row>
    <row r="360">
      <c r="A360" s="1" t="s">
        <v>522</v>
      </c>
      <c r="B360" s="2">
        <v>45517.0</v>
      </c>
      <c r="C360" s="1" t="s">
        <v>8</v>
      </c>
      <c r="D360" s="1" t="s">
        <v>32</v>
      </c>
      <c r="E360" s="1" t="s">
        <v>10</v>
      </c>
      <c r="F360" s="1" t="s">
        <v>11</v>
      </c>
      <c r="G360" s="1">
        <v>475.25</v>
      </c>
    </row>
    <row r="361">
      <c r="A361" s="1" t="s">
        <v>523</v>
      </c>
      <c r="B361" s="2">
        <v>45716.0</v>
      </c>
      <c r="C361" s="1" t="s">
        <v>69</v>
      </c>
      <c r="D361" s="1" t="s">
        <v>47</v>
      </c>
      <c r="E361" s="1" t="s">
        <v>10</v>
      </c>
      <c r="F361" s="1" t="s">
        <v>15</v>
      </c>
      <c r="G361" s="1">
        <v>9975.54</v>
      </c>
    </row>
    <row r="362">
      <c r="A362" s="1" t="s">
        <v>524</v>
      </c>
      <c r="B362" s="6">
        <v>45594.0</v>
      </c>
      <c r="C362" s="1" t="s">
        <v>345</v>
      </c>
      <c r="D362" s="1" t="s">
        <v>36</v>
      </c>
      <c r="E362" s="1" t="s">
        <v>19</v>
      </c>
      <c r="F362" s="1" t="s">
        <v>15</v>
      </c>
      <c r="G362" s="1">
        <v>8502.38</v>
      </c>
    </row>
    <row r="363">
      <c r="A363" s="1" t="s">
        <v>525</v>
      </c>
      <c r="B363" s="2">
        <v>45435.0</v>
      </c>
      <c r="C363" s="1" t="s">
        <v>104</v>
      </c>
      <c r="D363" s="1" t="s">
        <v>102</v>
      </c>
      <c r="E363" s="1" t="s">
        <v>19</v>
      </c>
      <c r="F363" s="1" t="s">
        <v>15</v>
      </c>
      <c r="G363" s="1">
        <v>8097.57</v>
      </c>
    </row>
    <row r="364">
      <c r="A364" s="1" t="s">
        <v>526</v>
      </c>
      <c r="B364" s="2">
        <v>45511.0</v>
      </c>
      <c r="C364" s="1" t="s">
        <v>52</v>
      </c>
      <c r="D364" s="1" t="s">
        <v>171</v>
      </c>
      <c r="E364" s="1" t="s">
        <v>23</v>
      </c>
      <c r="F364" s="1" t="s">
        <v>15</v>
      </c>
      <c r="G364" s="1">
        <v>5963.8</v>
      </c>
    </row>
    <row r="365">
      <c r="A365" s="1" t="s">
        <v>527</v>
      </c>
      <c r="B365" s="2">
        <v>45735.0</v>
      </c>
      <c r="C365" s="1" t="s">
        <v>97</v>
      </c>
      <c r="D365" s="1" t="s">
        <v>72</v>
      </c>
      <c r="E365" s="1" t="s">
        <v>19</v>
      </c>
      <c r="F365" s="1" t="s">
        <v>33</v>
      </c>
      <c r="G365" s="1">
        <v>30121.78</v>
      </c>
    </row>
    <row r="366">
      <c r="A366" s="1" t="s">
        <v>528</v>
      </c>
      <c r="B366" s="2">
        <v>45654.0</v>
      </c>
      <c r="C366" s="1" t="s">
        <v>74</v>
      </c>
      <c r="D366" s="1" t="s">
        <v>39</v>
      </c>
      <c r="E366" s="1" t="s">
        <v>19</v>
      </c>
      <c r="F366" s="1" t="s">
        <v>11</v>
      </c>
      <c r="G366" s="1">
        <v>1466.6</v>
      </c>
    </row>
    <row r="367">
      <c r="A367" s="1" t="s">
        <v>529</v>
      </c>
      <c r="B367" s="2">
        <v>45517.0</v>
      </c>
      <c r="C367" s="1" t="s">
        <v>139</v>
      </c>
      <c r="D367" s="1" t="s">
        <v>72</v>
      </c>
      <c r="E367" s="1" t="s">
        <v>19</v>
      </c>
      <c r="F367" s="1" t="s">
        <v>33</v>
      </c>
      <c r="G367" s="1">
        <v>24353.51</v>
      </c>
    </row>
    <row r="368">
      <c r="A368" s="1" t="s">
        <v>530</v>
      </c>
      <c r="B368" s="2">
        <v>45538.0</v>
      </c>
      <c r="C368" s="1" t="s">
        <v>223</v>
      </c>
      <c r="D368" s="1" t="s">
        <v>62</v>
      </c>
      <c r="E368" s="1" t="s">
        <v>10</v>
      </c>
      <c r="F368" s="1" t="s">
        <v>15</v>
      </c>
      <c r="G368" s="1">
        <v>3580.16</v>
      </c>
    </row>
    <row r="369">
      <c r="A369" s="1" t="s">
        <v>531</v>
      </c>
      <c r="B369" s="2">
        <v>45340.0</v>
      </c>
      <c r="C369" s="1" t="s">
        <v>128</v>
      </c>
      <c r="D369" s="1" t="s">
        <v>102</v>
      </c>
      <c r="E369" s="1" t="s">
        <v>19</v>
      </c>
      <c r="F369" s="1" t="s">
        <v>15</v>
      </c>
      <c r="G369" s="1">
        <v>10509.13</v>
      </c>
    </row>
    <row r="370">
      <c r="A370" s="1" t="s">
        <v>532</v>
      </c>
      <c r="B370" s="2">
        <v>45560.0</v>
      </c>
      <c r="C370" s="1" t="s">
        <v>78</v>
      </c>
      <c r="D370" s="1" t="s">
        <v>65</v>
      </c>
      <c r="E370" s="1" t="s">
        <v>23</v>
      </c>
      <c r="F370" s="1" t="s">
        <v>11</v>
      </c>
      <c r="G370" s="1">
        <v>2865.49</v>
      </c>
    </row>
    <row r="371">
      <c r="A371" s="1" t="s">
        <v>533</v>
      </c>
      <c r="B371" s="2">
        <v>45385.0</v>
      </c>
      <c r="C371" s="1" t="s">
        <v>534</v>
      </c>
      <c r="D371" s="1" t="s">
        <v>115</v>
      </c>
      <c r="E371" s="1" t="s">
        <v>10</v>
      </c>
      <c r="F371" s="1" t="s">
        <v>15</v>
      </c>
      <c r="G371" s="1">
        <v>10364.03</v>
      </c>
    </row>
    <row r="372">
      <c r="A372" s="1" t="s">
        <v>535</v>
      </c>
      <c r="B372" s="2">
        <v>45469.0</v>
      </c>
      <c r="C372" s="1" t="s">
        <v>52</v>
      </c>
      <c r="D372" s="1" t="s">
        <v>42</v>
      </c>
      <c r="E372" s="1" t="s">
        <v>23</v>
      </c>
      <c r="F372" s="1" t="s">
        <v>15</v>
      </c>
      <c r="G372" s="1">
        <v>7263.26</v>
      </c>
    </row>
    <row r="373">
      <c r="A373" s="1" t="s">
        <v>536</v>
      </c>
      <c r="B373" s="2">
        <v>45529.0</v>
      </c>
      <c r="C373" s="1" t="s">
        <v>41</v>
      </c>
      <c r="D373" s="1" t="s">
        <v>107</v>
      </c>
      <c r="E373" s="1" t="s">
        <v>23</v>
      </c>
      <c r="F373" s="1" t="s">
        <v>11</v>
      </c>
      <c r="G373" s="1">
        <v>1252.62</v>
      </c>
    </row>
    <row r="374">
      <c r="A374" s="1" t="s">
        <v>537</v>
      </c>
      <c r="B374" s="2">
        <v>45643.0</v>
      </c>
      <c r="C374" s="1" t="s">
        <v>279</v>
      </c>
      <c r="D374" s="1" t="s">
        <v>29</v>
      </c>
      <c r="E374" s="1" t="s">
        <v>23</v>
      </c>
      <c r="F374" s="1" t="s">
        <v>15</v>
      </c>
      <c r="G374" s="1">
        <v>4694.55</v>
      </c>
    </row>
    <row r="375">
      <c r="A375" s="1" t="s">
        <v>538</v>
      </c>
      <c r="B375" s="2">
        <v>45613.0</v>
      </c>
      <c r="C375" s="1" t="s">
        <v>17</v>
      </c>
      <c r="D375" s="1" t="s">
        <v>18</v>
      </c>
      <c r="E375" s="1" t="s">
        <v>19</v>
      </c>
      <c r="F375" s="1" t="s">
        <v>11</v>
      </c>
      <c r="G375" s="1">
        <v>2418.77</v>
      </c>
    </row>
    <row r="376">
      <c r="A376" s="1" t="s">
        <v>539</v>
      </c>
      <c r="B376" s="2">
        <v>45830.0</v>
      </c>
      <c r="C376" s="1" t="s">
        <v>196</v>
      </c>
      <c r="D376" s="1" t="s">
        <v>88</v>
      </c>
      <c r="E376" s="1" t="s">
        <v>10</v>
      </c>
      <c r="F376" s="1" t="s">
        <v>15</v>
      </c>
      <c r="G376" s="1">
        <v>7228.38</v>
      </c>
    </row>
    <row r="377">
      <c r="A377" s="1" t="s">
        <v>540</v>
      </c>
      <c r="B377" s="1" t="s">
        <v>156</v>
      </c>
      <c r="C377" s="1" t="s">
        <v>279</v>
      </c>
      <c r="D377" s="1" t="s">
        <v>29</v>
      </c>
      <c r="E377" s="1" t="s">
        <v>23</v>
      </c>
      <c r="F377" s="1" t="s">
        <v>15</v>
      </c>
      <c r="G377" s="1">
        <v>6019.45</v>
      </c>
    </row>
    <row r="378">
      <c r="A378" s="1" t="s">
        <v>541</v>
      </c>
      <c r="B378" s="2">
        <v>45300.0</v>
      </c>
      <c r="C378" s="1" t="s">
        <v>114</v>
      </c>
      <c r="D378" s="1" t="s">
        <v>47</v>
      </c>
      <c r="E378" s="1" t="s">
        <v>10</v>
      </c>
      <c r="F378" s="1" t="s">
        <v>15</v>
      </c>
      <c r="G378" s="1">
        <v>6589.8</v>
      </c>
    </row>
    <row r="379">
      <c r="A379" s="1" t="s">
        <v>542</v>
      </c>
      <c r="B379" s="2">
        <v>45386.0</v>
      </c>
      <c r="C379" s="1" t="s">
        <v>49</v>
      </c>
      <c r="D379" s="1" t="s">
        <v>47</v>
      </c>
      <c r="E379" s="1" t="s">
        <v>10</v>
      </c>
      <c r="F379" s="1" t="s">
        <v>15</v>
      </c>
      <c r="G379" s="1">
        <v>4295.28</v>
      </c>
    </row>
    <row r="380">
      <c r="A380" s="1" t="s">
        <v>543</v>
      </c>
      <c r="B380" s="2">
        <v>45418.0</v>
      </c>
      <c r="C380" s="1" t="s">
        <v>178</v>
      </c>
      <c r="D380" s="1" t="s">
        <v>55</v>
      </c>
      <c r="E380" s="1" t="s">
        <v>10</v>
      </c>
      <c r="F380" s="1" t="s">
        <v>33</v>
      </c>
      <c r="G380" s="1">
        <v>23793.25</v>
      </c>
    </row>
    <row r="381">
      <c r="A381" s="1" t="s">
        <v>544</v>
      </c>
      <c r="B381" s="2">
        <v>45786.0</v>
      </c>
      <c r="C381" s="1" t="s">
        <v>14</v>
      </c>
      <c r="D381" s="1" t="s">
        <v>62</v>
      </c>
      <c r="E381" s="1" t="s">
        <v>10</v>
      </c>
      <c r="F381" s="1" t="s">
        <v>15</v>
      </c>
      <c r="G381" s="1">
        <v>10506.32</v>
      </c>
    </row>
    <row r="382">
      <c r="A382" s="1" t="s">
        <v>545</v>
      </c>
      <c r="B382" s="3">
        <v>45842.0</v>
      </c>
      <c r="C382" s="1" t="s">
        <v>386</v>
      </c>
      <c r="D382" s="1" t="s">
        <v>62</v>
      </c>
      <c r="E382" s="1" t="s">
        <v>10</v>
      </c>
      <c r="F382" s="1" t="s">
        <v>11</v>
      </c>
    </row>
    <row r="383">
      <c r="A383" s="1" t="s">
        <v>546</v>
      </c>
      <c r="B383" s="2">
        <v>45664.0</v>
      </c>
      <c r="C383" s="1" t="s">
        <v>128</v>
      </c>
      <c r="D383" s="1" t="s">
        <v>102</v>
      </c>
      <c r="E383" s="1" t="s">
        <v>19</v>
      </c>
      <c r="F383" s="1" t="s">
        <v>15</v>
      </c>
      <c r="G383" s="1">
        <v>4148.06</v>
      </c>
    </row>
    <row r="384">
      <c r="A384" s="1" t="s">
        <v>547</v>
      </c>
      <c r="B384" s="2">
        <v>45547.0</v>
      </c>
      <c r="C384" s="1" t="s">
        <v>97</v>
      </c>
      <c r="D384" s="1" t="s">
        <v>39</v>
      </c>
      <c r="E384" s="1" t="s">
        <v>19</v>
      </c>
      <c r="F384" s="1" t="s">
        <v>33</v>
      </c>
      <c r="G384" s="1">
        <v>28392.52</v>
      </c>
    </row>
    <row r="385">
      <c r="A385" s="1" t="s">
        <v>548</v>
      </c>
      <c r="B385" s="2">
        <v>45553.0</v>
      </c>
      <c r="C385" s="1" t="s">
        <v>205</v>
      </c>
      <c r="D385" s="1" t="s">
        <v>171</v>
      </c>
      <c r="E385" s="1" t="s">
        <v>23</v>
      </c>
      <c r="F385" s="1" t="s">
        <v>11</v>
      </c>
      <c r="G385" s="1">
        <v>1341.45</v>
      </c>
    </row>
    <row r="386">
      <c r="A386" s="1" t="s">
        <v>549</v>
      </c>
      <c r="B386" s="2">
        <v>45834.0</v>
      </c>
      <c r="C386" s="1" t="s">
        <v>14</v>
      </c>
      <c r="D386" s="1" t="s">
        <v>62</v>
      </c>
      <c r="E386" s="1" t="s">
        <v>10</v>
      </c>
      <c r="F386" s="1" t="s">
        <v>15</v>
      </c>
      <c r="G386" s="1">
        <v>8362.0</v>
      </c>
    </row>
    <row r="387">
      <c r="A387" s="1" t="s">
        <v>550</v>
      </c>
      <c r="B387" s="2">
        <v>45672.0</v>
      </c>
      <c r="C387" s="1" t="s">
        <v>61</v>
      </c>
      <c r="D387" s="1" t="s">
        <v>9</v>
      </c>
      <c r="E387" s="1" t="s">
        <v>10</v>
      </c>
      <c r="F387" s="1" t="s">
        <v>11</v>
      </c>
      <c r="G387" s="1">
        <v>3359.3</v>
      </c>
    </row>
    <row r="388">
      <c r="A388" s="1" t="s">
        <v>551</v>
      </c>
      <c r="B388" s="4">
        <v>45427.0</v>
      </c>
      <c r="C388" s="1" t="s">
        <v>154</v>
      </c>
      <c r="D388" s="1" t="s">
        <v>9</v>
      </c>
      <c r="E388" s="1" t="s">
        <v>10</v>
      </c>
      <c r="F388" s="1" t="s">
        <v>33</v>
      </c>
      <c r="G388" s="1">
        <v>20291.68</v>
      </c>
    </row>
    <row r="389">
      <c r="A389" s="1" t="s">
        <v>552</v>
      </c>
      <c r="B389" s="2">
        <v>45302.0</v>
      </c>
      <c r="C389" s="1" t="s">
        <v>139</v>
      </c>
      <c r="D389" s="1" t="s">
        <v>39</v>
      </c>
      <c r="E389" s="1" t="s">
        <v>19</v>
      </c>
      <c r="F389" s="1" t="s">
        <v>33</v>
      </c>
      <c r="G389" s="1">
        <v>16697.13</v>
      </c>
    </row>
    <row r="390">
      <c r="A390" s="1" t="s">
        <v>553</v>
      </c>
      <c r="B390" s="2">
        <v>45714.0</v>
      </c>
      <c r="C390" s="1" t="s">
        <v>69</v>
      </c>
      <c r="D390" s="1" t="s">
        <v>50</v>
      </c>
      <c r="E390" s="1" t="s">
        <v>10</v>
      </c>
      <c r="F390" s="1" t="s">
        <v>15</v>
      </c>
      <c r="G390" s="1">
        <v>11916.01</v>
      </c>
    </row>
    <row r="391">
      <c r="A391" s="1" t="s">
        <v>554</v>
      </c>
      <c r="B391" s="2">
        <v>45654.0</v>
      </c>
      <c r="C391" s="1" t="s">
        <v>316</v>
      </c>
      <c r="D391" s="1" t="s">
        <v>29</v>
      </c>
      <c r="E391" s="1" t="s">
        <v>23</v>
      </c>
      <c r="F391" s="1" t="s">
        <v>33</v>
      </c>
      <c r="G391" s="1">
        <v>16414.43</v>
      </c>
    </row>
    <row r="392">
      <c r="A392" s="1" t="s">
        <v>555</v>
      </c>
      <c r="B392" s="2">
        <v>45580.0</v>
      </c>
      <c r="C392" s="1" t="s">
        <v>44</v>
      </c>
      <c r="D392" s="1" t="s">
        <v>36</v>
      </c>
      <c r="E392" s="1" t="s">
        <v>19</v>
      </c>
      <c r="F392" s="1" t="s">
        <v>15</v>
      </c>
      <c r="G392" s="1">
        <v>11917.14</v>
      </c>
    </row>
    <row r="393">
      <c r="A393" s="1" t="s">
        <v>556</v>
      </c>
      <c r="B393" s="2">
        <v>45299.0</v>
      </c>
      <c r="C393" s="1" t="s">
        <v>154</v>
      </c>
      <c r="D393" s="1" t="s">
        <v>32</v>
      </c>
      <c r="E393" s="1" t="s">
        <v>10</v>
      </c>
      <c r="F393" s="1" t="s">
        <v>33</v>
      </c>
      <c r="G393" s="1">
        <v>12917.13</v>
      </c>
    </row>
    <row r="394">
      <c r="A394" s="1" t="s">
        <v>557</v>
      </c>
      <c r="B394" s="2">
        <v>45457.0</v>
      </c>
      <c r="C394" s="1" t="s">
        <v>417</v>
      </c>
      <c r="D394" s="1" t="s">
        <v>50</v>
      </c>
      <c r="E394" s="1" t="s">
        <v>10</v>
      </c>
      <c r="F394" s="1" t="s">
        <v>15</v>
      </c>
      <c r="G394" s="1">
        <v>9109.67</v>
      </c>
    </row>
    <row r="395">
      <c r="A395" s="1" t="s">
        <v>558</v>
      </c>
      <c r="B395" s="2">
        <v>45795.0</v>
      </c>
      <c r="C395" s="1" t="s">
        <v>276</v>
      </c>
      <c r="D395" s="1" t="s">
        <v>50</v>
      </c>
      <c r="E395" s="1" t="s">
        <v>10</v>
      </c>
      <c r="F395" s="1" t="s">
        <v>11</v>
      </c>
      <c r="G395" s="1">
        <v>3120.41</v>
      </c>
    </row>
    <row r="396">
      <c r="A396" s="1" t="s">
        <v>559</v>
      </c>
      <c r="B396" s="2">
        <v>45682.0</v>
      </c>
      <c r="C396" s="1" t="s">
        <v>560</v>
      </c>
      <c r="D396" s="1" t="s">
        <v>26</v>
      </c>
      <c r="E396" s="1" t="s">
        <v>23</v>
      </c>
      <c r="F396" s="1" t="s">
        <v>33</v>
      </c>
      <c r="G396" s="1">
        <v>24431.23</v>
      </c>
    </row>
    <row r="397">
      <c r="A397" s="1" t="s">
        <v>561</v>
      </c>
      <c r="B397" s="2">
        <v>45332.0</v>
      </c>
      <c r="C397" s="1" t="s">
        <v>57</v>
      </c>
      <c r="D397" s="1" t="s">
        <v>22</v>
      </c>
      <c r="E397" s="1" t="s">
        <v>23</v>
      </c>
      <c r="F397" s="1" t="s">
        <v>11</v>
      </c>
      <c r="G397" s="1">
        <v>1201.6</v>
      </c>
    </row>
    <row r="398">
      <c r="A398" s="1" t="s">
        <v>562</v>
      </c>
      <c r="B398" s="2">
        <v>45705.0</v>
      </c>
      <c r="C398" s="1" t="s">
        <v>293</v>
      </c>
      <c r="D398" s="1" t="s">
        <v>55</v>
      </c>
      <c r="E398" s="1" t="s">
        <v>10</v>
      </c>
      <c r="F398" s="1" t="s">
        <v>33</v>
      </c>
      <c r="G398" s="1">
        <v>14142.47</v>
      </c>
    </row>
    <row r="399">
      <c r="A399" s="1" t="s">
        <v>563</v>
      </c>
      <c r="B399" s="3">
        <v>45905.0</v>
      </c>
      <c r="C399" s="1" t="s">
        <v>345</v>
      </c>
      <c r="D399" s="1" t="s">
        <v>39</v>
      </c>
      <c r="E399" s="1" t="s">
        <v>19</v>
      </c>
      <c r="F399" s="1" t="s">
        <v>15</v>
      </c>
      <c r="G399" s="1">
        <v>4871.42</v>
      </c>
    </row>
    <row r="400">
      <c r="A400" s="1" t="s">
        <v>564</v>
      </c>
      <c r="B400" s="2">
        <v>45691.0</v>
      </c>
      <c r="C400" s="1" t="s">
        <v>174</v>
      </c>
      <c r="D400" s="1" t="s">
        <v>202</v>
      </c>
      <c r="E400" s="1" t="s">
        <v>23</v>
      </c>
      <c r="F400" s="1" t="s">
        <v>33</v>
      </c>
      <c r="G400" s="1">
        <v>24250.32</v>
      </c>
    </row>
    <row r="401">
      <c r="A401" s="1" t="s">
        <v>565</v>
      </c>
      <c r="B401" s="2">
        <v>45437.0</v>
      </c>
      <c r="C401" s="1" t="s">
        <v>154</v>
      </c>
      <c r="D401" s="1" t="s">
        <v>9</v>
      </c>
      <c r="E401" s="1" t="s">
        <v>10</v>
      </c>
      <c r="F401" s="1" t="s">
        <v>33</v>
      </c>
      <c r="G401" s="1">
        <v>9507.95</v>
      </c>
    </row>
    <row r="402">
      <c r="A402" s="1" t="s">
        <v>566</v>
      </c>
      <c r="B402" s="2">
        <v>45300.0</v>
      </c>
      <c r="C402" s="1" t="s">
        <v>128</v>
      </c>
      <c r="D402" s="1" t="s">
        <v>18</v>
      </c>
      <c r="E402" s="1" t="s">
        <v>19</v>
      </c>
      <c r="F402" s="1" t="s">
        <v>15</v>
      </c>
      <c r="G402" s="1">
        <v>8527.93</v>
      </c>
    </row>
    <row r="403">
      <c r="A403" s="1" t="s">
        <v>567</v>
      </c>
      <c r="B403" s="2">
        <v>45460.0</v>
      </c>
      <c r="C403" s="1" t="s">
        <v>14</v>
      </c>
      <c r="D403" s="1" t="s">
        <v>9</v>
      </c>
      <c r="E403" s="1" t="s">
        <v>10</v>
      </c>
      <c r="F403" s="1" t="s">
        <v>15</v>
      </c>
      <c r="G403" s="1">
        <v>7178.54</v>
      </c>
    </row>
    <row r="404">
      <c r="A404" s="1" t="s">
        <v>568</v>
      </c>
      <c r="B404" s="2">
        <v>45312.0</v>
      </c>
      <c r="C404" s="1" t="s">
        <v>210</v>
      </c>
      <c r="D404" s="1" t="s">
        <v>65</v>
      </c>
      <c r="E404" s="1" t="s">
        <v>23</v>
      </c>
      <c r="F404" s="1" t="s">
        <v>15</v>
      </c>
      <c r="G404" s="1">
        <v>8603.1</v>
      </c>
    </row>
    <row r="405">
      <c r="A405" s="1" t="s">
        <v>569</v>
      </c>
      <c r="B405" s="2">
        <v>45795.0</v>
      </c>
      <c r="C405" s="1" t="s">
        <v>95</v>
      </c>
      <c r="D405" s="1" t="s">
        <v>65</v>
      </c>
      <c r="E405" s="1" t="s">
        <v>23</v>
      </c>
      <c r="F405" s="1" t="s">
        <v>33</v>
      </c>
      <c r="G405" s="1">
        <v>10670.73</v>
      </c>
    </row>
    <row r="406">
      <c r="A406" s="1" t="s">
        <v>570</v>
      </c>
      <c r="B406" s="2">
        <v>45743.0</v>
      </c>
      <c r="C406" s="1" t="s">
        <v>571</v>
      </c>
      <c r="D406" s="1" t="s">
        <v>42</v>
      </c>
      <c r="E406" s="1" t="s">
        <v>23</v>
      </c>
      <c r="F406" s="1" t="s">
        <v>11</v>
      </c>
      <c r="G406" s="1">
        <v>2763.08</v>
      </c>
    </row>
    <row r="407">
      <c r="A407" s="1" t="s">
        <v>572</v>
      </c>
      <c r="B407" s="3">
        <v>45390.0</v>
      </c>
      <c r="C407" s="1" t="s">
        <v>573</v>
      </c>
      <c r="D407" s="1" t="s">
        <v>171</v>
      </c>
      <c r="E407" s="1" t="s">
        <v>23</v>
      </c>
      <c r="F407" s="1" t="s">
        <v>11</v>
      </c>
      <c r="G407" s="1">
        <v>2486.08</v>
      </c>
    </row>
    <row r="408">
      <c r="A408" s="1" t="s">
        <v>574</v>
      </c>
      <c r="B408" s="2">
        <v>45540.0</v>
      </c>
      <c r="C408" s="1" t="s">
        <v>345</v>
      </c>
      <c r="D408" s="1" t="s">
        <v>39</v>
      </c>
      <c r="E408" s="1" t="s">
        <v>19</v>
      </c>
      <c r="F408" s="1" t="s">
        <v>15</v>
      </c>
      <c r="G408" s="1">
        <v>8912.28</v>
      </c>
    </row>
    <row r="409">
      <c r="A409" s="1" t="s">
        <v>575</v>
      </c>
      <c r="B409" s="3">
        <v>45783.0</v>
      </c>
      <c r="C409" s="1" t="s">
        <v>147</v>
      </c>
      <c r="D409" s="1" t="s">
        <v>72</v>
      </c>
      <c r="E409" s="1" t="s">
        <v>19</v>
      </c>
      <c r="F409" s="1" t="s">
        <v>33</v>
      </c>
      <c r="G409" s="1">
        <v>28407.62</v>
      </c>
    </row>
    <row r="410">
      <c r="A410" s="1" t="s">
        <v>576</v>
      </c>
      <c r="B410" s="3">
        <v>45602.0</v>
      </c>
      <c r="C410" s="1" t="s">
        <v>577</v>
      </c>
      <c r="D410" s="1" t="s">
        <v>55</v>
      </c>
      <c r="E410" s="1" t="s">
        <v>10</v>
      </c>
      <c r="F410" s="1" t="s">
        <v>33</v>
      </c>
      <c r="G410" s="1">
        <v>23087.72</v>
      </c>
    </row>
    <row r="411">
      <c r="A411" s="1" t="s">
        <v>578</v>
      </c>
      <c r="B411" s="2">
        <v>45743.0</v>
      </c>
      <c r="C411" s="1" t="s">
        <v>14</v>
      </c>
      <c r="D411" s="1" t="s">
        <v>9</v>
      </c>
      <c r="E411" s="1" t="s">
        <v>10</v>
      </c>
      <c r="F411" s="1" t="s">
        <v>15</v>
      </c>
      <c r="G411" s="1">
        <v>9543.3</v>
      </c>
    </row>
    <row r="412">
      <c r="A412" s="1" t="s">
        <v>579</v>
      </c>
      <c r="B412" s="2">
        <v>45680.0</v>
      </c>
      <c r="C412" s="1" t="s">
        <v>223</v>
      </c>
      <c r="D412" s="1" t="s">
        <v>9</v>
      </c>
      <c r="E412" s="1" t="s">
        <v>10</v>
      </c>
      <c r="F412" s="1" t="s">
        <v>15</v>
      </c>
      <c r="G412" s="1">
        <v>6705.84</v>
      </c>
    </row>
    <row r="413">
      <c r="A413" s="1" t="s">
        <v>580</v>
      </c>
      <c r="B413" s="2">
        <v>45348.0</v>
      </c>
      <c r="C413" s="1" t="s">
        <v>186</v>
      </c>
      <c r="D413" s="1" t="s">
        <v>72</v>
      </c>
      <c r="E413" s="1" t="s">
        <v>19</v>
      </c>
      <c r="F413" s="1" t="s">
        <v>33</v>
      </c>
      <c r="G413" s="1">
        <v>11516.62</v>
      </c>
    </row>
    <row r="414">
      <c r="A414" s="1" t="s">
        <v>581</v>
      </c>
      <c r="B414" s="6">
        <v>45405.0</v>
      </c>
      <c r="C414" s="1" t="s">
        <v>97</v>
      </c>
      <c r="D414" s="1" t="s">
        <v>39</v>
      </c>
      <c r="E414" s="1" t="s">
        <v>19</v>
      </c>
      <c r="F414" s="1" t="s">
        <v>33</v>
      </c>
      <c r="G414" s="1">
        <v>31681.09</v>
      </c>
    </row>
    <row r="415">
      <c r="A415" s="1" t="s">
        <v>582</v>
      </c>
      <c r="B415" s="2">
        <v>45377.0</v>
      </c>
      <c r="C415" s="1" t="s">
        <v>186</v>
      </c>
      <c r="D415" s="1" t="s">
        <v>39</v>
      </c>
      <c r="E415" s="1" t="s">
        <v>19</v>
      </c>
      <c r="F415" s="1" t="s">
        <v>33</v>
      </c>
      <c r="G415" s="1">
        <v>17576.96</v>
      </c>
    </row>
    <row r="416">
      <c r="A416" s="1" t="s">
        <v>583</v>
      </c>
      <c r="B416" s="2">
        <v>45528.0</v>
      </c>
      <c r="C416" s="1" t="s">
        <v>388</v>
      </c>
      <c r="D416" s="1" t="s">
        <v>72</v>
      </c>
      <c r="E416" s="1" t="s">
        <v>19</v>
      </c>
      <c r="F416" s="1" t="s">
        <v>11</v>
      </c>
      <c r="G416" s="1">
        <v>2963.81</v>
      </c>
    </row>
    <row r="417">
      <c r="A417" s="1" t="s">
        <v>584</v>
      </c>
      <c r="B417" s="1" t="s">
        <v>13</v>
      </c>
      <c r="C417" s="1" t="s">
        <v>97</v>
      </c>
      <c r="D417" s="1" t="s">
        <v>72</v>
      </c>
      <c r="E417" s="1" t="s">
        <v>19</v>
      </c>
      <c r="F417" s="1" t="s">
        <v>33</v>
      </c>
      <c r="G417" s="1">
        <v>28913.05</v>
      </c>
    </row>
    <row r="418">
      <c r="A418" s="1" t="s">
        <v>585</v>
      </c>
      <c r="B418" s="2">
        <v>45341.0</v>
      </c>
      <c r="C418" s="1" t="s">
        <v>159</v>
      </c>
      <c r="D418" s="1" t="s">
        <v>39</v>
      </c>
      <c r="E418" s="1" t="s">
        <v>19</v>
      </c>
      <c r="F418" s="1" t="s">
        <v>11</v>
      </c>
      <c r="G418" s="1">
        <v>2003.64</v>
      </c>
    </row>
    <row r="419">
      <c r="A419" s="1" t="s">
        <v>586</v>
      </c>
      <c r="B419" s="2">
        <v>45561.0</v>
      </c>
      <c r="C419" s="1" t="s">
        <v>128</v>
      </c>
      <c r="D419" s="1" t="s">
        <v>102</v>
      </c>
      <c r="E419" s="1" t="s">
        <v>19</v>
      </c>
      <c r="F419" s="1" t="s">
        <v>15</v>
      </c>
      <c r="G419" s="1">
        <v>4348.26</v>
      </c>
    </row>
    <row r="420">
      <c r="A420" s="1" t="s">
        <v>587</v>
      </c>
      <c r="B420" s="2">
        <v>45789.0</v>
      </c>
      <c r="C420" s="1" t="s">
        <v>128</v>
      </c>
      <c r="D420" s="1" t="s">
        <v>102</v>
      </c>
      <c r="E420" s="1" t="s">
        <v>19</v>
      </c>
      <c r="F420" s="1" t="s">
        <v>15</v>
      </c>
      <c r="G420" s="1">
        <v>4875.49</v>
      </c>
    </row>
    <row r="421">
      <c r="A421" s="1" t="s">
        <v>588</v>
      </c>
      <c r="B421" s="2">
        <v>45835.0</v>
      </c>
      <c r="C421" s="1" t="s">
        <v>159</v>
      </c>
      <c r="D421" s="1" t="s">
        <v>36</v>
      </c>
      <c r="E421" s="1" t="s">
        <v>19</v>
      </c>
      <c r="F421" s="1" t="s">
        <v>11</v>
      </c>
      <c r="G421" s="1">
        <v>3262.64</v>
      </c>
    </row>
    <row r="422">
      <c r="A422" s="1" t="s">
        <v>589</v>
      </c>
      <c r="B422" s="2">
        <v>45527.0</v>
      </c>
      <c r="C422" s="1" t="s">
        <v>186</v>
      </c>
      <c r="D422" s="1" t="s">
        <v>36</v>
      </c>
      <c r="E422" s="1" t="s">
        <v>19</v>
      </c>
      <c r="F422" s="1" t="s">
        <v>33</v>
      </c>
      <c r="G422" s="1">
        <v>15520.16</v>
      </c>
    </row>
    <row r="423">
      <c r="A423" s="1" t="s">
        <v>590</v>
      </c>
      <c r="B423" s="2">
        <v>45682.0</v>
      </c>
      <c r="C423" s="1" t="s">
        <v>44</v>
      </c>
      <c r="D423" s="1" t="s">
        <v>39</v>
      </c>
      <c r="E423" s="1" t="s">
        <v>19</v>
      </c>
      <c r="F423" s="1" t="s">
        <v>15</v>
      </c>
      <c r="G423" s="1">
        <v>4716.65</v>
      </c>
    </row>
    <row r="424">
      <c r="A424" s="1" t="s">
        <v>591</v>
      </c>
      <c r="B424" s="2">
        <v>45707.0</v>
      </c>
      <c r="C424" s="1" t="s">
        <v>106</v>
      </c>
      <c r="D424" s="1" t="s">
        <v>171</v>
      </c>
      <c r="E424" s="1" t="s">
        <v>23</v>
      </c>
      <c r="F424" s="1" t="s">
        <v>11</v>
      </c>
      <c r="G424" s="1">
        <v>1110.82</v>
      </c>
    </row>
    <row r="425">
      <c r="A425" s="1" t="s">
        <v>592</v>
      </c>
      <c r="B425" s="2">
        <v>45813.0</v>
      </c>
      <c r="C425" s="1" t="s">
        <v>286</v>
      </c>
      <c r="D425" s="1" t="s">
        <v>202</v>
      </c>
      <c r="E425" s="1" t="s">
        <v>23</v>
      </c>
      <c r="F425" s="1" t="s">
        <v>33</v>
      </c>
      <c r="G425" s="1">
        <v>28391.36</v>
      </c>
    </row>
    <row r="426">
      <c r="A426" s="1" t="s">
        <v>593</v>
      </c>
      <c r="B426" s="2">
        <v>45611.0</v>
      </c>
      <c r="C426" s="1" t="s">
        <v>41</v>
      </c>
      <c r="D426" s="1" t="s">
        <v>42</v>
      </c>
      <c r="E426" s="1" t="s">
        <v>23</v>
      </c>
      <c r="F426" s="1" t="s">
        <v>11</v>
      </c>
      <c r="G426" s="1">
        <v>3308.65</v>
      </c>
    </row>
    <row r="427">
      <c r="A427" s="1" t="s">
        <v>594</v>
      </c>
      <c r="B427" s="1" t="s">
        <v>595</v>
      </c>
      <c r="C427" s="1" t="s">
        <v>97</v>
      </c>
      <c r="D427" s="1" t="s">
        <v>36</v>
      </c>
      <c r="E427" s="1" t="s">
        <v>19</v>
      </c>
      <c r="F427" s="1" t="s">
        <v>33</v>
      </c>
      <c r="G427" s="1">
        <v>14366.56</v>
      </c>
    </row>
    <row r="428">
      <c r="A428" s="1" t="s">
        <v>596</v>
      </c>
      <c r="B428" s="2">
        <v>45413.0</v>
      </c>
      <c r="C428" s="1" t="s">
        <v>174</v>
      </c>
      <c r="D428" s="1" t="s">
        <v>184</v>
      </c>
      <c r="E428" s="1" t="s">
        <v>23</v>
      </c>
      <c r="F428" s="1" t="s">
        <v>33</v>
      </c>
      <c r="G428" s="1">
        <v>29739.08</v>
      </c>
    </row>
    <row r="429">
      <c r="A429" s="1" t="s">
        <v>597</v>
      </c>
      <c r="B429" s="2">
        <v>45641.0</v>
      </c>
      <c r="C429" s="1" t="s">
        <v>178</v>
      </c>
      <c r="D429" s="1" t="s">
        <v>76</v>
      </c>
      <c r="E429" s="1" t="s">
        <v>10</v>
      </c>
      <c r="F429" s="1" t="s">
        <v>33</v>
      </c>
      <c r="G429" s="1">
        <v>28089.41</v>
      </c>
    </row>
    <row r="430">
      <c r="A430" s="1" t="s">
        <v>598</v>
      </c>
      <c r="B430" s="1" t="s">
        <v>599</v>
      </c>
      <c r="C430" s="1" t="s">
        <v>159</v>
      </c>
      <c r="D430" s="1" t="s">
        <v>72</v>
      </c>
      <c r="E430" s="1" t="s">
        <v>19</v>
      </c>
      <c r="F430" s="1" t="s">
        <v>11</v>
      </c>
      <c r="G430" s="1">
        <v>1682.47</v>
      </c>
    </row>
    <row r="431">
      <c r="A431" s="1" t="s">
        <v>600</v>
      </c>
      <c r="B431" s="5">
        <v>45629.0</v>
      </c>
      <c r="C431" s="1" t="s">
        <v>601</v>
      </c>
      <c r="D431" s="1" t="s">
        <v>29</v>
      </c>
      <c r="E431" s="1" t="s">
        <v>23</v>
      </c>
      <c r="F431" s="1" t="s">
        <v>11</v>
      </c>
      <c r="G431" s="1">
        <v>391.3</v>
      </c>
    </row>
    <row r="432">
      <c r="A432" s="1" t="s">
        <v>602</v>
      </c>
      <c r="B432" s="2">
        <v>45569.0</v>
      </c>
      <c r="C432" s="1" t="s">
        <v>61</v>
      </c>
      <c r="D432" s="1" t="s">
        <v>9</v>
      </c>
      <c r="E432" s="1" t="s">
        <v>10</v>
      </c>
      <c r="F432" s="1" t="s">
        <v>11</v>
      </c>
      <c r="G432" s="1">
        <v>2742.26</v>
      </c>
    </row>
    <row r="433">
      <c r="A433" s="1" t="s">
        <v>603</v>
      </c>
      <c r="B433" s="2">
        <v>45481.0</v>
      </c>
      <c r="C433" s="1" t="s">
        <v>281</v>
      </c>
      <c r="D433" s="1" t="s">
        <v>62</v>
      </c>
      <c r="E433" s="1" t="s">
        <v>10</v>
      </c>
      <c r="F433" s="1" t="s">
        <v>15</v>
      </c>
      <c r="G433" s="1">
        <v>6374.57</v>
      </c>
    </row>
    <row r="434">
      <c r="A434" s="1" t="s">
        <v>604</v>
      </c>
      <c r="B434" s="2">
        <v>45586.0</v>
      </c>
      <c r="C434" s="1" t="s">
        <v>38</v>
      </c>
      <c r="D434" s="1" t="s">
        <v>36</v>
      </c>
      <c r="E434" s="1" t="s">
        <v>19</v>
      </c>
      <c r="F434" s="1" t="s">
        <v>11</v>
      </c>
      <c r="G434" s="1">
        <v>2854.7</v>
      </c>
    </row>
    <row r="435">
      <c r="A435" s="1" t="s">
        <v>605</v>
      </c>
      <c r="B435" s="2">
        <v>45573.0</v>
      </c>
      <c r="C435" s="1" t="s">
        <v>97</v>
      </c>
      <c r="D435" s="1" t="s">
        <v>72</v>
      </c>
      <c r="E435" s="1" t="s">
        <v>19</v>
      </c>
      <c r="F435" s="1" t="s">
        <v>33</v>
      </c>
      <c r="G435" s="1">
        <v>14090.95</v>
      </c>
    </row>
    <row r="436">
      <c r="A436" s="1" t="s">
        <v>606</v>
      </c>
      <c r="B436" s="3">
        <v>45628.0</v>
      </c>
      <c r="C436" s="1" t="s">
        <v>17</v>
      </c>
      <c r="D436" s="1" t="s">
        <v>18</v>
      </c>
      <c r="E436" s="1" t="s">
        <v>19</v>
      </c>
      <c r="F436" s="1" t="s">
        <v>11</v>
      </c>
      <c r="G436" s="1">
        <v>1163.51</v>
      </c>
    </row>
    <row r="437">
      <c r="A437" s="1" t="s">
        <v>607</v>
      </c>
      <c r="B437" s="2">
        <v>45519.0</v>
      </c>
      <c r="C437" s="1" t="s">
        <v>186</v>
      </c>
      <c r="D437" s="1" t="s">
        <v>72</v>
      </c>
      <c r="E437" s="1" t="s">
        <v>19</v>
      </c>
      <c r="F437" s="1" t="s">
        <v>33</v>
      </c>
      <c r="G437" s="1">
        <v>40375.13</v>
      </c>
    </row>
    <row r="438">
      <c r="A438" s="1" t="s">
        <v>608</v>
      </c>
      <c r="B438" s="2">
        <v>45561.0</v>
      </c>
      <c r="C438" s="1" t="s">
        <v>279</v>
      </c>
      <c r="D438" s="1" t="s">
        <v>65</v>
      </c>
      <c r="E438" s="1" t="s">
        <v>23</v>
      </c>
      <c r="F438" s="1" t="s">
        <v>15</v>
      </c>
      <c r="G438" s="1">
        <v>8015.71</v>
      </c>
    </row>
    <row r="439">
      <c r="A439" s="1" t="s">
        <v>609</v>
      </c>
      <c r="B439" s="1" t="s">
        <v>137</v>
      </c>
      <c r="C439" s="1" t="s">
        <v>205</v>
      </c>
      <c r="D439" s="1" t="s">
        <v>107</v>
      </c>
      <c r="E439" s="1" t="s">
        <v>23</v>
      </c>
      <c r="F439" s="1" t="s">
        <v>11</v>
      </c>
      <c r="G439" s="1">
        <v>592.34</v>
      </c>
    </row>
    <row r="440">
      <c r="A440" s="1" t="s">
        <v>610</v>
      </c>
      <c r="B440" s="2">
        <v>45712.0</v>
      </c>
      <c r="C440" s="1" t="s">
        <v>17</v>
      </c>
      <c r="D440" s="1" t="s">
        <v>102</v>
      </c>
      <c r="E440" s="1" t="s">
        <v>19</v>
      </c>
      <c r="F440" s="1" t="s">
        <v>11</v>
      </c>
      <c r="G440" s="1">
        <v>923.35</v>
      </c>
    </row>
    <row r="441">
      <c r="A441" s="1" t="s">
        <v>611</v>
      </c>
      <c r="B441" s="2">
        <v>45321.0</v>
      </c>
      <c r="C441" s="1" t="s">
        <v>316</v>
      </c>
      <c r="D441" s="1" t="s">
        <v>29</v>
      </c>
      <c r="E441" s="1" t="s">
        <v>23</v>
      </c>
      <c r="F441" s="1" t="s">
        <v>33</v>
      </c>
      <c r="G441" s="1">
        <v>21247.09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34.75"/>
    <col customWidth="1" min="5" max="5" width="15.63"/>
    <col customWidth="1" min="6" max="6" width="16.75"/>
  </cols>
  <sheetData>
    <row r="1">
      <c r="A1" s="1" t="s">
        <v>612</v>
      </c>
      <c r="B1" s="7" t="s">
        <v>613</v>
      </c>
      <c r="C1" s="1" t="s">
        <v>614</v>
      </c>
      <c r="D1" s="1" t="s">
        <v>615</v>
      </c>
      <c r="E1" s="1" t="s">
        <v>616</v>
      </c>
      <c r="F1" s="1" t="s">
        <v>617</v>
      </c>
      <c r="G1" s="8" t="s">
        <v>618</v>
      </c>
    </row>
    <row r="2">
      <c r="A2" s="9" t="str">
        <f>messy_sales!A2</f>
        <v>ORD-01001</v>
      </c>
      <c r="B2" s="10">
        <f>IFERROR(DATEVALUE(messy_sales!B2), "Invalid Date")</f>
        <v>45572</v>
      </c>
      <c r="C2" s="9" t="str">
        <f>TRIM(messy_sales!C2)</f>
        <v>Alpine Ski House</v>
      </c>
      <c r="D2" s="9" t="str">
        <f>UPPER(TRIM(messy_sales!D2))</f>
        <v>DE</v>
      </c>
      <c r="E2" s="9" t="str">
        <f>messy_sales!E2</f>
        <v>EMEA</v>
      </c>
      <c r="F2" s="9" t="str">
        <f>messy_sales!F2</f>
        <v>SMB</v>
      </c>
      <c r="G2" s="8">
        <f>IF(messy_sales!G2="", "Missing" , messy_sales!G2)</f>
        <v>306.58</v>
      </c>
    </row>
    <row r="3">
      <c r="A3" s="9" t="str">
        <f>messy_sales!A3</f>
        <v>ORD-01002</v>
      </c>
      <c r="B3" s="10" t="str">
        <f>IFERROR(DATEVALUE(messy_sales!B3), "Invalid Date")</f>
        <v>Invalid Date</v>
      </c>
      <c r="C3" s="9" t="str">
        <f>TRIM(messy_sales!C3)</f>
        <v>Nordwind Energie</v>
      </c>
      <c r="D3" s="9" t="str">
        <f>UPPER(TRIM(messy_sales!D3))</f>
        <v>DE</v>
      </c>
      <c r="E3" s="9" t="str">
        <f>messy_sales!E3</f>
        <v>EMEA</v>
      </c>
      <c r="F3" s="9" t="str">
        <f>messy_sales!F3</f>
        <v>Mid-Market</v>
      </c>
      <c r="G3" s="8">
        <f>IF(messy_sales!G3="", "Missing" , messy_sales!G3)</f>
        <v>4353.36</v>
      </c>
    </row>
    <row r="4">
      <c r="A4" s="9" t="str">
        <f>messy_sales!A4</f>
        <v>ORD-01003</v>
      </c>
      <c r="B4" s="10">
        <f>IFERROR(DATEVALUE(messy_sales!B4), "Invalid Date")</f>
        <v>45519</v>
      </c>
      <c r="C4" s="9" t="str">
        <f>TRIM(messy_sales!C4)</f>
        <v>Tailspin Toys</v>
      </c>
      <c r="D4" s="9" t="str">
        <f>UPPER(TRIM(messy_sales!D4))</f>
        <v>CA</v>
      </c>
      <c r="E4" s="9" t="str">
        <f>messy_sales!E4</f>
        <v>North America</v>
      </c>
      <c r="F4" s="9" t="str">
        <f>messy_sales!F4</f>
        <v>SMB</v>
      </c>
      <c r="G4" s="8" t="str">
        <f>IF(messy_sales!G4="", "Missing" , messy_sales!G4)</f>
        <v>Missing</v>
      </c>
    </row>
    <row r="5">
      <c r="A5" s="9" t="str">
        <f>messy_sales!A5</f>
        <v>ORD-01004</v>
      </c>
      <c r="B5" s="10">
        <f>IFERROR(DATEVALUE(messy_sales!B5), "Invalid Date")</f>
        <v>45321</v>
      </c>
      <c r="C5" s="9" t="str">
        <f>TRIM(messy_sales!C5)</f>
        <v>Delhi Textiles</v>
      </c>
      <c r="D5" s="9" t="str">
        <f>UPPER(TRIM(messy_sales!D5))</f>
        <v>IN</v>
      </c>
      <c r="E5" s="9" t="str">
        <f>messy_sales!E5</f>
        <v>APAC</v>
      </c>
      <c r="F5" s="9" t="str">
        <f>messy_sales!F5</f>
        <v>SMB</v>
      </c>
      <c r="G5" s="8">
        <f>IF(messy_sales!G5="", "Missing" , messy_sales!G5)</f>
        <v>1685.44</v>
      </c>
    </row>
    <row r="6">
      <c r="A6" s="9" t="str">
        <f>messy_sales!A6</f>
        <v>ORD-01005</v>
      </c>
      <c r="B6" s="10">
        <f>IFERROR(DATEVALUE(messy_sales!B6), "Invalid Date")</f>
        <v>45771</v>
      </c>
      <c r="C6" s="9" t="str">
        <f>TRIM(messy_sales!C6)</f>
        <v>Lion City Traders</v>
      </c>
      <c r="D6" s="9" t="str">
        <f>UPPER(TRIM(messy_sales!D6))</f>
        <v>SG</v>
      </c>
      <c r="E6" s="9" t="str">
        <f>messy_sales!E6</f>
        <v>APAC</v>
      </c>
      <c r="F6" s="9" t="str">
        <f>messy_sales!F6</f>
        <v>Mid-Market</v>
      </c>
      <c r="G6" s="8">
        <f>IF(messy_sales!G6="", "Missing" , messy_sales!G6)</f>
        <v>11996.33</v>
      </c>
    </row>
    <row r="7">
      <c r="A7" s="9" t="str">
        <f>messy_sales!A7</f>
        <v>ORD-01006</v>
      </c>
      <c r="B7" s="10">
        <f>IFERROR(DATEVALUE(messy_sales!B7), "Invalid Date")</f>
        <v>45674</v>
      </c>
      <c r="C7" s="9" t="str">
        <f>TRIM(messy_sales!C7)</f>
        <v>Mumbai Fresh Foods</v>
      </c>
      <c r="D7" s="9" t="str">
        <f>UPPER(TRIM(messy_sales!D7))</f>
        <v>IN</v>
      </c>
      <c r="E7" s="9" t="str">
        <f>messy_sales!E7</f>
        <v>APAC</v>
      </c>
      <c r="F7" s="9" t="str">
        <f>messy_sales!F7</f>
        <v>SMB</v>
      </c>
      <c r="G7" s="8">
        <f>IF(messy_sales!G7="", "Missing" , messy_sales!G7)</f>
        <v>2913.04</v>
      </c>
    </row>
    <row r="8">
      <c r="A8" s="9" t="str">
        <f>messy_sales!A8</f>
        <v>ORD-01007</v>
      </c>
      <c r="B8" s="10">
        <f>IFERROR(DATEVALUE(messy_sales!B8), "Invalid Date")</f>
        <v>45313</v>
      </c>
      <c r="C8" s="9" t="str">
        <f>TRIM(messy_sales!C8)</f>
        <v>Proseware GmbH</v>
      </c>
      <c r="D8" s="9" t="str">
        <f>UPPER(TRIM(messy_sales!D8))</f>
        <v>DE</v>
      </c>
      <c r="E8" s="9" t="str">
        <f>messy_sales!E8</f>
        <v>EMEA</v>
      </c>
      <c r="F8" s="9" t="str">
        <f>messy_sales!F8</f>
        <v>Enterprise</v>
      </c>
      <c r="G8" s="8">
        <f>IF(messy_sales!G8="", "Missing" , messy_sales!G8)</f>
        <v>35412.77</v>
      </c>
    </row>
    <row r="9">
      <c r="A9" s="9" t="str">
        <f>messy_sales!A9</f>
        <v>ORD-01008</v>
      </c>
      <c r="B9" s="10">
        <f>IFERROR(DATEVALUE(messy_sales!B9), "Invalid Date")</f>
        <v>45563</v>
      </c>
      <c r="C9" s="9" t="str">
        <f>TRIM(messy_sales!C9)</f>
        <v>Blue Yonder Airlines</v>
      </c>
      <c r="D9" s="9" t="str">
        <f>UPPER(TRIM(messy_sales!D9))</f>
        <v>US</v>
      </c>
      <c r="E9" s="9" t="str">
        <f>messy_sales!E9</f>
        <v>North America</v>
      </c>
      <c r="F9" s="9" t="str">
        <f>messy_sales!F9</f>
        <v>Enterprise</v>
      </c>
      <c r="G9" s="8">
        <f>IF(messy_sales!G9="", "Missing" , messy_sales!G9)</f>
        <v>20575.8</v>
      </c>
    </row>
    <row r="10">
      <c r="A10" s="9" t="str">
        <f>messy_sales!A10</f>
        <v>ORD-01009</v>
      </c>
      <c r="B10" s="10">
        <f>IFERROR(DATEVALUE(messy_sales!B10), "Invalid Date")</f>
        <v>45422</v>
      </c>
      <c r="C10" s="9" t="str">
        <f>TRIM(messy_sales!C10)</f>
        <v>Coho Vineyard</v>
      </c>
      <c r="D10" s="9" t="str">
        <f>UPPER(TRIM(messy_sales!D10))</f>
        <v>US</v>
      </c>
      <c r="E10" s="9" t="str">
        <f>messy_sales!E10</f>
        <v>North America</v>
      </c>
      <c r="F10" s="9" t="str">
        <f>messy_sales!F10</f>
        <v>SMB</v>
      </c>
      <c r="G10" s="8">
        <f>IF(messy_sales!G10="", "Missing" , messy_sales!G10)</f>
        <v>2676.39</v>
      </c>
    </row>
    <row r="11">
      <c r="A11" s="9" t="str">
        <f>messy_sales!A11</f>
        <v>ORD-01010</v>
      </c>
      <c r="B11" s="10">
        <f>IFERROR(DATEVALUE(messy_sales!B11), "Invalid Date")</f>
        <v>45751</v>
      </c>
      <c r="C11" s="9" t="str">
        <f>TRIM(messy_sales!C11)</f>
        <v>Sydney Harbour Goods</v>
      </c>
      <c r="D11" s="9" t="str">
        <f>UPPER(TRIM(messy_sales!D11))</f>
        <v>AU</v>
      </c>
      <c r="E11" s="9" t="str">
        <f>messy_sales!E11</f>
        <v>APAC</v>
      </c>
      <c r="F11" s="9" t="str">
        <f>messy_sales!F11</f>
        <v>SMB</v>
      </c>
      <c r="G11" s="8">
        <f>IF(messy_sales!G11="", "Missing" , messy_sales!G11)</f>
        <v>1684.85</v>
      </c>
    </row>
    <row r="12">
      <c r="A12" s="9" t="str">
        <f>messy_sales!A12</f>
        <v>ORD-01011</v>
      </c>
      <c r="B12" s="10">
        <f>IFERROR(DATEVALUE(messy_sales!B12), "Invalid Date")</f>
        <v>45463</v>
      </c>
      <c r="C12" s="9" t="str">
        <f>TRIM(messy_sales!C12)</f>
        <v>Fabrikam Inc</v>
      </c>
      <c r="D12" s="9" t="str">
        <f>UPPER(TRIM(messy_sales!D12))</f>
        <v>US</v>
      </c>
      <c r="E12" s="9" t="str">
        <f>messy_sales!E12</f>
        <v>North America</v>
      </c>
      <c r="F12" s="9" t="str">
        <f>messy_sales!F12</f>
        <v>Mid-Market</v>
      </c>
      <c r="G12" s="8">
        <f>IF(messy_sales!G12="", "Missing" , messy_sales!G12)</f>
        <v>8499.56</v>
      </c>
    </row>
    <row r="13">
      <c r="A13" s="9" t="str">
        <f>messy_sales!A13</f>
        <v>ORD-01012</v>
      </c>
      <c r="B13" s="10">
        <f>IFERROR(DATEVALUE(messy_sales!B13), "Invalid Date")</f>
        <v>45602</v>
      </c>
      <c r="C13" s="9" t="str">
        <f>TRIM(messy_sales!C13)</f>
        <v>Litware Systems</v>
      </c>
      <c r="D13" s="9" t="str">
        <f>UPPER(TRIM(messy_sales!D13))</f>
        <v>GB</v>
      </c>
      <c r="E13" s="9" t="str">
        <f>messy_sales!E13</f>
        <v>EMEA</v>
      </c>
      <c r="F13" s="9" t="str">
        <f>messy_sales!F13</f>
        <v>Enterprise</v>
      </c>
      <c r="G13" s="8">
        <f>IF(messy_sales!G13="", "Missing" , messy_sales!G13)</f>
        <v>23617.89</v>
      </c>
    </row>
    <row r="14">
      <c r="A14" s="9" t="str">
        <f>messy_sales!A14</f>
        <v>ORD-01013</v>
      </c>
      <c r="B14" s="10">
        <f>IFERROR(DATEVALUE(messy_sales!B14), "Invalid Date")</f>
        <v>45483</v>
      </c>
      <c r="C14" s="9" t="str">
        <f>TRIM(messy_sales!C14)</f>
        <v>Wide World Importers</v>
      </c>
      <c r="D14" s="9" t="str">
        <f>UPPER(TRIM(messy_sales!D14))</f>
        <v>GB</v>
      </c>
      <c r="E14" s="9" t="str">
        <f>messy_sales!E14</f>
        <v>EMEA</v>
      </c>
      <c r="F14" s="9" t="str">
        <f>messy_sales!F14</f>
        <v>Mid-Market</v>
      </c>
      <c r="G14" s="8">
        <f>IF(messy_sales!G14="", "Missing" , messy_sales!G14)</f>
        <v>4262.97</v>
      </c>
    </row>
    <row r="15">
      <c r="A15" s="9" t="str">
        <f>messy_sales!A15</f>
        <v>ORD-01014</v>
      </c>
      <c r="B15" s="10">
        <f>IFERROR(DATEVALUE(messy_sales!B15), "Invalid Date")</f>
        <v>45702</v>
      </c>
      <c r="C15" s="9" t="str">
        <f>TRIM(messy_sales!C15)</f>
        <v>Outback Supplies</v>
      </c>
      <c r="D15" s="9" t="str">
        <f>UPPER(TRIM(messy_sales!D15))</f>
        <v>AU</v>
      </c>
      <c r="E15" s="9" t="str">
        <f>messy_sales!E15</f>
        <v>APAC</v>
      </c>
      <c r="F15" s="9" t="str">
        <f>messy_sales!F15</f>
        <v>Mid-Market</v>
      </c>
      <c r="G15" s="8">
        <f>IF(messy_sales!G15="", "Missing" , messy_sales!G15)</f>
        <v>9752.79</v>
      </c>
    </row>
    <row r="16">
      <c r="A16" s="9" t="str">
        <f>messy_sales!A16</f>
        <v>ORD-01015</v>
      </c>
      <c r="B16" s="10">
        <f>IFERROR(DATEVALUE(messy_sales!B16), "Invalid Date")</f>
        <v>45527</v>
      </c>
      <c r="C16" s="9" t="str">
        <f>TRIM(messy_sales!C16)</f>
        <v>Desert Trading LLC</v>
      </c>
      <c r="D16" s="9" t="str">
        <f>UPPER(TRIM(messy_sales!D16))</f>
        <v>AE</v>
      </c>
      <c r="E16" s="9" t="str">
        <f>messy_sales!E16</f>
        <v>EMEA</v>
      </c>
      <c r="F16" s="9" t="str">
        <f>messy_sales!F16</f>
        <v>Mid-Market</v>
      </c>
      <c r="G16" s="8">
        <f>IF(messy_sales!G16="", "Missing" , messy_sales!G16)</f>
        <v>7788.27</v>
      </c>
    </row>
    <row r="17">
      <c r="A17" s="9" t="str">
        <f>messy_sales!A17</f>
        <v>ORD-01016</v>
      </c>
      <c r="B17" s="10">
        <f>IFERROR(DATEVALUE(messy_sales!B17), "Invalid Date")</f>
        <v>45717</v>
      </c>
      <c r="C17" s="9" t="str">
        <f>TRIM(messy_sales!C17)</f>
        <v>Delhi Textiles</v>
      </c>
      <c r="D17" s="9" t="str">
        <f>UPPER(TRIM(messy_sales!D17))</f>
        <v>IN</v>
      </c>
      <c r="E17" s="9" t="str">
        <f>messy_sales!E17</f>
        <v>APAC</v>
      </c>
      <c r="F17" s="9" t="str">
        <f>messy_sales!F17</f>
        <v>SMB</v>
      </c>
      <c r="G17" s="8">
        <f>IF(messy_sales!G17="", "Missing" , messy_sales!G17)</f>
        <v>2864.96</v>
      </c>
    </row>
    <row r="18">
      <c r="A18" s="9" t="str">
        <f>messy_sales!A18</f>
        <v>ORD-01017</v>
      </c>
      <c r="B18" s="10">
        <f>IFERROR(DATEVALUE(messy_sales!B18), "Invalid Date")</f>
        <v>45549</v>
      </c>
      <c r="C18" s="9" t="str">
        <f>TRIM(messy_sales!C18)</f>
        <v>Pacific Northwest Co</v>
      </c>
      <c r="D18" s="9" t="str">
        <f>UPPER(TRIM(messy_sales!D18))</f>
        <v>US</v>
      </c>
      <c r="E18" s="9" t="str">
        <f>messy_sales!E18</f>
        <v>North America</v>
      </c>
      <c r="F18" s="9" t="str">
        <f>messy_sales!F18</f>
        <v>Mid-Market</v>
      </c>
      <c r="G18" s="8">
        <f>IF(messy_sales!G18="", "Missing" , messy_sales!G18)</f>
        <v>7960.7</v>
      </c>
    </row>
    <row r="19">
      <c r="A19" s="9" t="str">
        <f>messy_sales!A19</f>
        <v>ORD-01018</v>
      </c>
      <c r="B19" s="10">
        <f>IFERROR(DATEVALUE(messy_sales!B19), "Invalid Date")</f>
        <v>45752</v>
      </c>
      <c r="C19" s="9" t="str">
        <f>TRIM(messy_sales!C19)</f>
        <v>Hanseatic Imports</v>
      </c>
      <c r="D19" s="9" t="str">
        <f>UPPER(TRIM(messy_sales!D19))</f>
        <v>DE</v>
      </c>
      <c r="E19" s="9" t="str">
        <f>messy_sales!E19</f>
        <v>EMEA</v>
      </c>
      <c r="F19" s="9" t="str">
        <f>messy_sales!F19</f>
        <v>SMB</v>
      </c>
      <c r="G19" s="8">
        <f>IF(messy_sales!G19="", "Missing" , messy_sales!G19)</f>
        <v>1340.76</v>
      </c>
    </row>
    <row r="20">
      <c r="A20" s="9" t="str">
        <f>messy_sales!A20</f>
        <v>ORD-01019</v>
      </c>
      <c r="B20" s="10">
        <f>IFERROR(DATEVALUE(messy_sales!B20), "Invalid Date")</f>
        <v>45778</v>
      </c>
      <c r="C20" s="9" t="str">
        <f>TRIM(messy_sales!C20)</f>
        <v>Delhi Textiles</v>
      </c>
      <c r="D20" s="9" t="str">
        <f>UPPER(TRIM(messy_sales!D20))</f>
        <v>IN</v>
      </c>
      <c r="E20" s="9" t="str">
        <f>messy_sales!E20</f>
        <v>APAC</v>
      </c>
      <c r="F20" s="9" t="str">
        <f>messy_sales!F20</f>
        <v>SMB</v>
      </c>
      <c r="G20" s="8">
        <f>IF(messy_sales!G20="", "Missing" , messy_sales!G20)</f>
        <v>2675.96</v>
      </c>
    </row>
    <row r="21">
      <c r="A21" s="9" t="str">
        <f>messy_sales!A21</f>
        <v>ORD-01020</v>
      </c>
      <c r="B21" s="10">
        <f>IFERROR(DATEVALUE(messy_sales!B21), "Invalid Date")</f>
        <v>45478</v>
      </c>
      <c r="C21" s="9" t="str">
        <f>TRIM(messy_sales!C21)</f>
        <v>Alpine Ski House</v>
      </c>
      <c r="D21" s="9" t="str">
        <f>UPPER(TRIM(messy_sales!D21))</f>
        <v>DE</v>
      </c>
      <c r="E21" s="9" t="str">
        <f>messy_sales!E21</f>
        <v>EMEA</v>
      </c>
      <c r="F21" s="9" t="str">
        <f>messy_sales!F21</f>
        <v>SMB</v>
      </c>
      <c r="G21" s="8">
        <f>IF(messy_sales!G21="", "Missing" , messy_sales!G21)</f>
        <v>710.99</v>
      </c>
    </row>
    <row r="22">
      <c r="A22" s="9" t="str">
        <f>messy_sales!A22</f>
        <v>ORD-01021</v>
      </c>
      <c r="B22" s="10">
        <f>IFERROR(DATEVALUE(messy_sales!B22), "Invalid Date")</f>
        <v>45668</v>
      </c>
      <c r="C22" s="9" t="str">
        <f>TRIM(messy_sales!C22)</f>
        <v>Coho Vineyard</v>
      </c>
      <c r="D22" s="9" t="str">
        <f>UPPER(TRIM(messy_sales!D22))</f>
        <v>US</v>
      </c>
      <c r="E22" s="9" t="str">
        <f>messy_sales!E22</f>
        <v>North America</v>
      </c>
      <c r="F22" s="9" t="str">
        <f>messy_sales!F22</f>
        <v>SMB</v>
      </c>
      <c r="G22" s="8">
        <f>IF(messy_sales!G22="", "Missing" , messy_sales!G22)</f>
        <v>1623.39</v>
      </c>
    </row>
    <row r="23">
      <c r="A23" s="9" t="str">
        <f>messy_sales!A23</f>
        <v>ORD-01022</v>
      </c>
      <c r="B23" s="10">
        <f>IFERROR(DATEVALUE(messy_sales!B23), "Invalid Date")</f>
        <v>45783</v>
      </c>
      <c r="C23" s="9" t="str">
        <f>TRIM(messy_sales!C23)</f>
        <v>Wide World Importers</v>
      </c>
      <c r="D23" s="9" t="str">
        <f>UPPER(TRIM(messy_sales!D23))</f>
        <v>GB</v>
      </c>
      <c r="E23" s="9" t="str">
        <f>messy_sales!E23</f>
        <v>EMEA</v>
      </c>
      <c r="F23" s="9" t="str">
        <f>messy_sales!F23</f>
        <v>Mid-Market</v>
      </c>
      <c r="G23" s="8">
        <f>IF(messy_sales!G23="", "Missing" , messy_sales!G23)</f>
        <v>10567.65</v>
      </c>
    </row>
    <row r="24">
      <c r="A24" s="9" t="str">
        <f>messy_sales!A24</f>
        <v>ORD-01023</v>
      </c>
      <c r="B24" s="10">
        <f>IFERROR(DATEVALUE(messy_sales!B24), "Invalid Date")</f>
        <v>45418</v>
      </c>
      <c r="C24" s="9" t="str">
        <f>TRIM(messy_sales!C24)</f>
        <v>Contoso Ltd</v>
      </c>
      <c r="D24" s="9" t="str">
        <f>UPPER(TRIM(messy_sales!D24))</f>
        <v>US</v>
      </c>
      <c r="E24" s="9" t="str">
        <f>messy_sales!E24</f>
        <v>North America</v>
      </c>
      <c r="F24" s="9" t="str">
        <f>messy_sales!F24</f>
        <v>Enterprise</v>
      </c>
      <c r="G24" s="8">
        <f>IF(messy_sales!G24="", "Missing" , messy_sales!G24)</f>
        <v>16558.86</v>
      </c>
    </row>
    <row r="25">
      <c r="A25" s="9" t="str">
        <f>messy_sales!A25</f>
        <v>ORD-01024</v>
      </c>
      <c r="B25" s="10">
        <f>IFERROR(DATEVALUE(messy_sales!B25), "Invalid Date")</f>
        <v>45557</v>
      </c>
      <c r="C25" s="9" t="str">
        <f>TRIM(messy_sales!C25)</f>
        <v>Wingtip Retail</v>
      </c>
      <c r="D25" s="9" t="str">
        <f>UPPER(TRIM(messy_sales!D25))</f>
        <v>US</v>
      </c>
      <c r="E25" s="9" t="str">
        <f>messy_sales!E25</f>
        <v>North America</v>
      </c>
      <c r="F25" s="9" t="str">
        <f>messy_sales!F25</f>
        <v>SMB</v>
      </c>
      <c r="G25" s="8">
        <f>IF(messy_sales!G25="", "Missing" , messy_sales!G25)</f>
        <v>1201.91</v>
      </c>
    </row>
    <row r="26">
      <c r="A26" s="9" t="str">
        <f>messy_sales!A26</f>
        <v>ORD-01025</v>
      </c>
      <c r="B26" s="10">
        <f>IFERROR(DATEVALUE(messy_sales!B26), "Invalid Date")</f>
        <v>45822</v>
      </c>
      <c r="C26" s="9" t="str">
        <f>TRIM(messy_sales!C26)</f>
        <v>Desert Trading LLC</v>
      </c>
      <c r="D26" s="9" t="str">
        <f>UPPER(TRIM(messy_sales!D26))</f>
        <v>AE</v>
      </c>
      <c r="E26" s="9" t="str">
        <f>messy_sales!E26</f>
        <v>EMEA</v>
      </c>
      <c r="F26" s="9" t="str">
        <f>messy_sales!F26</f>
        <v>Mid-Market</v>
      </c>
      <c r="G26" s="8">
        <f>IF(messy_sales!G26="", "Missing" , messy_sales!G26)</f>
        <v>5194.29</v>
      </c>
    </row>
    <row r="27">
      <c r="A27" s="9" t="str">
        <f>messy_sales!A27</f>
        <v>ORD-01026</v>
      </c>
      <c r="B27" s="10">
        <f>IFERROR(DATEVALUE(messy_sales!B27), "Invalid Date")</f>
        <v>45671</v>
      </c>
      <c r="C27" s="9" t="str">
        <f>TRIM(messy_sales!C27)</f>
        <v>Mumbai Fresh Foods</v>
      </c>
      <c r="D27" s="9" t="str">
        <f>UPPER(TRIM(messy_sales!D27))</f>
        <v>IN</v>
      </c>
      <c r="E27" s="9" t="str">
        <f>messy_sales!E27</f>
        <v>APAC</v>
      </c>
      <c r="F27" s="9" t="str">
        <f>messy_sales!F27</f>
        <v>SMB</v>
      </c>
      <c r="G27" s="8">
        <f>IF(messy_sales!G27="", "Missing" , messy_sales!G27)</f>
        <v>1161.65</v>
      </c>
    </row>
    <row r="28">
      <c r="A28" s="9" t="str">
        <f>messy_sales!A28</f>
        <v>ORD-01027</v>
      </c>
      <c r="B28" s="10">
        <f>IFERROR(DATEVALUE(messy_sales!B28), "Invalid Date")</f>
        <v>45837</v>
      </c>
      <c r="C28" s="9" t="str">
        <f>TRIM(messy_sales!C28)</f>
        <v>Contoso Ltd</v>
      </c>
      <c r="D28" s="9" t="str">
        <f>UPPER(TRIM(messy_sales!D28))</f>
        <v>US</v>
      </c>
      <c r="E28" s="9" t="str">
        <f>messy_sales!E28</f>
        <v>North America</v>
      </c>
      <c r="F28" s="9" t="str">
        <f>messy_sales!F28</f>
        <v>Enterprise</v>
      </c>
      <c r="G28" s="8">
        <f>IF(messy_sales!G28="", "Missing" , messy_sales!G28)</f>
        <v>39528.52</v>
      </c>
    </row>
    <row r="29">
      <c r="A29" s="9" t="str">
        <f>messy_sales!A29</f>
        <v>ORD-01028</v>
      </c>
      <c r="B29" s="10">
        <f>IFERROR(DATEVALUE(messy_sales!B29), "Invalid Date")</f>
        <v>45613</v>
      </c>
      <c r="C29" s="9" t="str">
        <f>TRIM(messy_sales!C29)</f>
        <v>Contoso Ltd</v>
      </c>
      <c r="D29" s="9" t="str">
        <f>UPPER(TRIM(messy_sales!D29))</f>
        <v>US</v>
      </c>
      <c r="E29" s="9" t="str">
        <f>messy_sales!E29</f>
        <v>North America</v>
      </c>
      <c r="F29" s="9" t="str">
        <f>messy_sales!F29</f>
        <v>Enterprise</v>
      </c>
      <c r="G29" s="8">
        <f>IF(messy_sales!G29="", "Missing" , messy_sales!G29)</f>
        <v>16152.37</v>
      </c>
    </row>
    <row r="30">
      <c r="A30" s="9" t="str">
        <f>messy_sales!A30</f>
        <v>ORD-01029</v>
      </c>
      <c r="B30" s="10">
        <f>IFERROR(DATEVALUE(messy_sales!B30), "Invalid Date")</f>
        <v>45433</v>
      </c>
      <c r="C30" s="9" t="str">
        <f>TRIM(messy_sales!C30)</f>
        <v>Hanseatic Imports</v>
      </c>
      <c r="D30" s="9" t="str">
        <f>UPPER(TRIM(messy_sales!D30))</f>
        <v>DE</v>
      </c>
      <c r="E30" s="9" t="str">
        <f>messy_sales!E30</f>
        <v>EMEA</v>
      </c>
      <c r="F30" s="9" t="str">
        <f>messy_sales!F30</f>
        <v>SMB</v>
      </c>
      <c r="G30" s="8">
        <f>IF(messy_sales!G30="", "Missing" , messy_sales!G30)</f>
        <v>2816.96</v>
      </c>
    </row>
    <row r="31">
      <c r="A31" s="9" t="str">
        <f>messy_sales!A31</f>
        <v>ORD-01030</v>
      </c>
      <c r="B31" s="10">
        <f>IFERROR(DATEVALUE(messy_sales!B31), "Invalid Date")</f>
        <v>45837</v>
      </c>
      <c r="C31" s="9" t="str">
        <f>TRIM(messy_sales!C31)</f>
        <v>Contoso Ltd</v>
      </c>
      <c r="D31" s="9" t="str">
        <f>UPPER(TRIM(messy_sales!D31))</f>
        <v>US</v>
      </c>
      <c r="E31" s="9" t="str">
        <f>messy_sales!E31</f>
        <v>North America</v>
      </c>
      <c r="F31" s="9" t="str">
        <f>messy_sales!F31</f>
        <v>Enterprise</v>
      </c>
      <c r="G31" s="8">
        <f>IF(messy_sales!G31="", "Missing" , messy_sales!G31)</f>
        <v>37694.85</v>
      </c>
    </row>
    <row r="32">
      <c r="A32" s="9" t="str">
        <f>messy_sales!A32</f>
        <v>ORD-01031</v>
      </c>
      <c r="B32" s="10">
        <f>IFERROR(DATEVALUE(messy_sales!B32), "Invalid Date")</f>
        <v>45738</v>
      </c>
      <c r="C32" s="9" t="str">
        <f>TRIM(messy_sales!C32)</f>
        <v>Gulf Logistics</v>
      </c>
      <c r="D32" s="9" t="str">
        <f>UPPER(TRIM(messy_sales!D32))</f>
        <v>AE</v>
      </c>
      <c r="E32" s="9" t="str">
        <f>messy_sales!E32</f>
        <v>EMEA</v>
      </c>
      <c r="F32" s="9" t="str">
        <f>messy_sales!F32</f>
        <v>Enterprise</v>
      </c>
      <c r="G32" s="8" t="str">
        <f>IF(messy_sales!G32="", "Missing" , messy_sales!G32)</f>
        <v>Missing</v>
      </c>
    </row>
    <row r="33">
      <c r="A33" s="9" t="str">
        <f>messy_sales!A33</f>
        <v>ORD-01032</v>
      </c>
      <c r="B33" s="10">
        <f>IFERROR(DATEVALUE(messy_sales!B33), "Invalid Date")</f>
        <v>45636</v>
      </c>
      <c r="C33" s="9" t="str">
        <f>TRIM(messy_sales!C33)</f>
        <v>Emirates Retail Group</v>
      </c>
      <c r="D33" s="9" t="str">
        <f>UPPER(TRIM(messy_sales!D33))</f>
        <v>AE</v>
      </c>
      <c r="E33" s="9" t="str">
        <f>messy_sales!E33</f>
        <v>EMEA</v>
      </c>
      <c r="F33" s="9" t="str">
        <f>messy_sales!F33</f>
        <v>Enterprise</v>
      </c>
      <c r="G33" s="8">
        <f>IF(messy_sales!G33="", "Missing" , messy_sales!G33)</f>
        <v>27283.78</v>
      </c>
    </row>
    <row r="34">
      <c r="A34" s="9" t="str">
        <f>messy_sales!A34</f>
        <v>ORD-01033</v>
      </c>
      <c r="B34" s="10">
        <f>IFERROR(DATEVALUE(messy_sales!B34), "Invalid Date")</f>
        <v>45817</v>
      </c>
      <c r="C34" s="9" t="str">
        <f>TRIM(messy_sales!C34)</f>
        <v>Coho Vineyard</v>
      </c>
      <c r="D34" s="9" t="str">
        <f>UPPER(TRIM(messy_sales!D34))</f>
        <v>US</v>
      </c>
      <c r="E34" s="9" t="str">
        <f>messy_sales!E34</f>
        <v>North America</v>
      </c>
      <c r="F34" s="9" t="str">
        <f>messy_sales!F34</f>
        <v>SMB</v>
      </c>
      <c r="G34" s="8">
        <f>IF(messy_sales!G34="", "Missing" , messy_sales!G34)</f>
        <v>2882.46</v>
      </c>
    </row>
    <row r="35">
      <c r="A35" s="9" t="str">
        <f>messy_sales!A35</f>
        <v>ORD-01034</v>
      </c>
      <c r="B35" s="10">
        <f>IFERROR(DATEVALUE(messy_sales!B35), "Invalid Date")</f>
        <v>45547</v>
      </c>
      <c r="C35" s="9" t="str">
        <f>TRIM(messy_sales!C35)</f>
        <v>Nordwind Energie</v>
      </c>
      <c r="D35" s="9" t="str">
        <f>UPPER(TRIM(messy_sales!D35))</f>
        <v>DE</v>
      </c>
      <c r="E35" s="9" t="str">
        <f>messy_sales!E35</f>
        <v>EMEA</v>
      </c>
      <c r="F35" s="9" t="str">
        <f>messy_sales!F35</f>
        <v>Mid-Market</v>
      </c>
      <c r="G35" s="8">
        <f>IF(messy_sales!G35="", "Missing" , messy_sales!G35)</f>
        <v>10142.51</v>
      </c>
    </row>
    <row r="36">
      <c r="A36" s="9" t="str">
        <f>messy_sales!A36</f>
        <v>ORD-01035</v>
      </c>
      <c r="B36" s="10">
        <f>IFERROR(DATEVALUE(messy_sales!B36), "Invalid Date")</f>
        <v>45548</v>
      </c>
      <c r="C36" s="9" t="str">
        <f>TRIM(messy_sales!C36)</f>
        <v>Wide World Importers</v>
      </c>
      <c r="D36" s="9" t="str">
        <f>UPPER(TRIM(messy_sales!D36))</f>
        <v>GB</v>
      </c>
      <c r="E36" s="9" t="str">
        <f>messy_sales!E36</f>
        <v>EMEA</v>
      </c>
      <c r="F36" s="9" t="str">
        <f>messy_sales!F36</f>
        <v>Mid-Market</v>
      </c>
      <c r="G36" s="8">
        <f>IF(messy_sales!G36="", "Missing" , messy_sales!G36)</f>
        <v>8416.68</v>
      </c>
    </row>
    <row r="37">
      <c r="A37" s="9" t="str">
        <f>messy_sales!A37</f>
        <v>ORD-01036</v>
      </c>
      <c r="B37" s="10">
        <f>IFERROR(DATEVALUE(messy_sales!B37), "Invalid Date")</f>
        <v>45526</v>
      </c>
      <c r="C37" s="9" t="str">
        <f>TRIM(messy_sales!C37)</f>
        <v>Tata Consultancy Retail</v>
      </c>
      <c r="D37" s="9" t="str">
        <f>UPPER(TRIM(messy_sales!D37))</f>
        <v>IN</v>
      </c>
      <c r="E37" s="9" t="str">
        <f>messy_sales!E37</f>
        <v>APAC</v>
      </c>
      <c r="F37" s="9" t="str">
        <f>messy_sales!F37</f>
        <v>Enterprise</v>
      </c>
      <c r="G37" s="8">
        <f>IF(messy_sales!G37="", "Missing" , messy_sales!G37)</f>
        <v>29237.12</v>
      </c>
    </row>
    <row r="38">
      <c r="A38" s="9" t="str">
        <f>messy_sales!A38</f>
        <v>ORD-01037</v>
      </c>
      <c r="B38" s="10">
        <f>IFERROR(DATEVALUE(messy_sales!B38), "Invalid Date")</f>
        <v>45710</v>
      </c>
      <c r="C38" s="9" t="str">
        <f>TRIM(messy_sales!C38)</f>
        <v>Contoso Ltd</v>
      </c>
      <c r="D38" s="9" t="str">
        <f>UPPER(TRIM(messy_sales!D38))</f>
        <v>US</v>
      </c>
      <c r="E38" s="9" t="str">
        <f>messy_sales!E38</f>
        <v>North America</v>
      </c>
      <c r="F38" s="9" t="str">
        <f>messy_sales!F38</f>
        <v>Enterprise</v>
      </c>
      <c r="G38" s="8">
        <f>IF(messy_sales!G38="", "Missing" , messy_sales!G38)</f>
        <v>23643.03</v>
      </c>
    </row>
    <row r="39">
      <c r="A39" s="9" t="str">
        <f>messy_sales!A39</f>
        <v>ORD-01038</v>
      </c>
      <c r="B39" s="10">
        <f>IFERROR(DATEVALUE(messy_sales!B39), "Invalid Date")</f>
        <v>45829</v>
      </c>
      <c r="C39" s="9" t="str">
        <f>TRIM(messy_sales!C39)</f>
        <v>Pacific Northwest Co</v>
      </c>
      <c r="D39" s="9" t="str">
        <f>UPPER(TRIM(messy_sales!D39))</f>
        <v>US</v>
      </c>
      <c r="E39" s="9" t="str">
        <f>messy_sales!E39</f>
        <v>North America</v>
      </c>
      <c r="F39" s="9" t="str">
        <f>messy_sales!F39</f>
        <v>Mid-Market</v>
      </c>
      <c r="G39" s="8">
        <f>IF(messy_sales!G39="", "Missing" , messy_sales!G39)</f>
        <v>5004.12</v>
      </c>
    </row>
    <row r="40">
      <c r="A40" s="9" t="str">
        <f>messy_sales!A40</f>
        <v>ORD-01039</v>
      </c>
      <c r="B40" s="10">
        <f>IFERROR(DATEVALUE(messy_sales!B40), "Invalid Date")</f>
        <v>45725</v>
      </c>
      <c r="C40" s="9" t="str">
        <f>TRIM(messy_sales!C40)</f>
        <v>Nordwind Energie</v>
      </c>
      <c r="D40" s="9" t="str">
        <f>UPPER(TRIM(messy_sales!D40))</f>
        <v>DE</v>
      </c>
      <c r="E40" s="9" t="str">
        <f>messy_sales!E40</f>
        <v>EMEA</v>
      </c>
      <c r="F40" s="9" t="str">
        <f>messy_sales!F40</f>
        <v>Mid-Market</v>
      </c>
      <c r="G40" s="8">
        <f>IF(messy_sales!G40="", "Missing" , messy_sales!G40)</f>
        <v>8575.67</v>
      </c>
    </row>
    <row r="41">
      <c r="A41" s="9" t="str">
        <f>messy_sales!A41</f>
        <v>ORD-01040</v>
      </c>
      <c r="B41" s="10">
        <f>IFERROR(DATEVALUE(messy_sales!B41), "Invalid Date")</f>
        <v>45633</v>
      </c>
      <c r="C41" s="9" t="str">
        <f>TRIM(messy_sales!C41)</f>
        <v>Sydney Harbour Goods</v>
      </c>
      <c r="D41" s="9" t="str">
        <f>UPPER(TRIM(messy_sales!D41))</f>
        <v>AU</v>
      </c>
      <c r="E41" s="9" t="str">
        <f>messy_sales!E41</f>
        <v>APAC</v>
      </c>
      <c r="F41" s="9" t="str">
        <f>messy_sales!F41</f>
        <v>SMB</v>
      </c>
      <c r="G41" s="8">
        <f>IF(messy_sales!G41="", "Missing" , messy_sales!G41)</f>
        <v>1951.7</v>
      </c>
    </row>
    <row r="42">
      <c r="A42" s="9" t="str">
        <f>messy_sales!A42</f>
        <v>ORD-01041</v>
      </c>
      <c r="B42" s="10">
        <f>IFERROR(DATEVALUE(messy_sales!B42), "Invalid Date")</f>
        <v>45744</v>
      </c>
      <c r="C42" s="9" t="str">
        <f>TRIM(messy_sales!C42)</f>
        <v>Tailspin Toys</v>
      </c>
      <c r="D42" s="9" t="str">
        <f>UPPER(TRIM(messy_sales!D42))</f>
        <v>CA</v>
      </c>
      <c r="E42" s="9" t="str">
        <f>messy_sales!E42</f>
        <v>North America</v>
      </c>
      <c r="F42" s="9" t="str">
        <f>messy_sales!F42</f>
        <v>SMB</v>
      </c>
      <c r="G42" s="8">
        <f>IF(messy_sales!G42="", "Missing" , messy_sales!G42)</f>
        <v>2955.55</v>
      </c>
    </row>
    <row r="43">
      <c r="A43" s="9" t="str">
        <f>messy_sales!A43</f>
        <v>ORD-01042</v>
      </c>
      <c r="B43" s="10">
        <f>IFERROR(DATEVALUE(messy_sales!B43), "Invalid Date")</f>
        <v>45667</v>
      </c>
      <c r="C43" s="9" t="str">
        <f>TRIM(messy_sales!C43)</f>
        <v>Adventure Works</v>
      </c>
      <c r="D43" s="9" t="str">
        <f>UPPER(TRIM(messy_sales!D43))</f>
        <v>CA</v>
      </c>
      <c r="E43" s="9" t="str">
        <f>messy_sales!E43</f>
        <v>North America</v>
      </c>
      <c r="F43" s="9" t="str">
        <f>messy_sales!F43</f>
        <v>Mid-Market</v>
      </c>
      <c r="G43" s="8">
        <f>IF(messy_sales!G43="", "Missing" , messy_sales!G43)</f>
        <v>7915.42</v>
      </c>
    </row>
    <row r="44">
      <c r="A44" s="9" t="str">
        <f>messy_sales!A44</f>
        <v>ORD-01043</v>
      </c>
      <c r="B44" s="10">
        <f>IFERROR(DATEVALUE(messy_sales!B44), "Invalid Date")</f>
        <v>45394</v>
      </c>
      <c r="C44" s="9" t="str">
        <f>TRIM(messy_sales!C44)</f>
        <v>Great Barrier Retail</v>
      </c>
      <c r="D44" s="9" t="str">
        <f>UPPER(TRIM(messy_sales!D44))</f>
        <v>AU</v>
      </c>
      <c r="E44" s="9" t="str">
        <f>messy_sales!E44</f>
        <v>APAC</v>
      </c>
      <c r="F44" s="9" t="str">
        <f>messy_sales!F44</f>
        <v>SMB</v>
      </c>
      <c r="G44" s="8">
        <f>IF(messy_sales!G44="", "Missing" , messy_sales!G44)</f>
        <v>380.98</v>
      </c>
    </row>
    <row r="45">
      <c r="A45" s="9" t="str">
        <f>messy_sales!A45</f>
        <v>ORD-01044</v>
      </c>
      <c r="B45" s="10">
        <f>IFERROR(DATEVALUE(messy_sales!B45), "Invalid Date")</f>
        <v>45592</v>
      </c>
      <c r="C45" s="9" t="str">
        <f>TRIM(messy_sales!C45)</f>
        <v>Emirates Retail Group</v>
      </c>
      <c r="D45" s="9" t="str">
        <f>UPPER(TRIM(messy_sales!D45))</f>
        <v>AE</v>
      </c>
      <c r="E45" s="9" t="str">
        <f>messy_sales!E45</f>
        <v>EMEA</v>
      </c>
      <c r="F45" s="9" t="str">
        <f>messy_sales!F45</f>
        <v>Enterprise</v>
      </c>
      <c r="G45" s="8">
        <f>IF(messy_sales!G45="", "Missing" , messy_sales!G45)</f>
        <v>18161.61</v>
      </c>
    </row>
    <row r="46">
      <c r="A46" s="9" t="str">
        <f>messy_sales!A46</f>
        <v>ORD-01045</v>
      </c>
      <c r="B46" s="10">
        <f>IFERROR(DATEVALUE(messy_sales!B46), "Invalid Date")</f>
        <v>45525</v>
      </c>
      <c r="C46" s="9" t="str">
        <f>TRIM(messy_sales!C46)</f>
        <v>Gulf Logistics</v>
      </c>
      <c r="D46" s="9" t="str">
        <f>UPPER(TRIM(messy_sales!D46))</f>
        <v>AE</v>
      </c>
      <c r="E46" s="9" t="str">
        <f>messy_sales!E46</f>
        <v>EMEA</v>
      </c>
      <c r="F46" s="9" t="str">
        <f>messy_sales!F46</f>
        <v>Enterprise</v>
      </c>
      <c r="G46" s="8">
        <f>IF(messy_sales!G46="", "Missing" , messy_sales!G46)</f>
        <v>33648.31</v>
      </c>
    </row>
    <row r="47">
      <c r="A47" s="9" t="str">
        <f>messy_sales!A47</f>
        <v>ORD-01046</v>
      </c>
      <c r="B47" s="10" t="str">
        <f>IFERROR(DATEVALUE(messy_sales!B47), "Invalid Date")</f>
        <v>Invalid Date</v>
      </c>
      <c r="C47" s="9" t="str">
        <f>TRIM(messy_sales!C47)</f>
        <v>Thames Valley Foods</v>
      </c>
      <c r="D47" s="9" t="str">
        <f>UPPER(TRIM(messy_sales!D47))</f>
        <v>GB</v>
      </c>
      <c r="E47" s="9" t="str">
        <f>messy_sales!E47</f>
        <v>EMEA</v>
      </c>
      <c r="F47" s="9" t="str">
        <f>messy_sales!F47</f>
        <v>Mid-Market</v>
      </c>
      <c r="G47" s="8">
        <f>IF(messy_sales!G47="", "Missing" , messy_sales!G47)</f>
        <v>9913.66</v>
      </c>
    </row>
    <row r="48">
      <c r="A48" s="9" t="str">
        <f>messy_sales!A48</f>
        <v>ORD-01047</v>
      </c>
      <c r="B48" s="10">
        <f>IFERROR(DATEVALUE(messy_sales!B48), "Invalid Date")</f>
        <v>45673</v>
      </c>
      <c r="C48" s="9" t="str">
        <f>TRIM(messy_sales!C48)</f>
        <v>Hanseatic Imports</v>
      </c>
      <c r="D48" s="9" t="str">
        <f>UPPER(TRIM(messy_sales!D48))</f>
        <v>DE</v>
      </c>
      <c r="E48" s="9" t="str">
        <f>messy_sales!E48</f>
        <v>EMEA</v>
      </c>
      <c r="F48" s="9" t="str">
        <f>messy_sales!F48</f>
        <v>SMB</v>
      </c>
      <c r="G48" s="8">
        <f>IF(messy_sales!G48="", "Missing" , messy_sales!G48)</f>
        <v>2741</v>
      </c>
    </row>
    <row r="49">
      <c r="A49" s="9" t="str">
        <f>messy_sales!A49</f>
        <v>ORD-01048</v>
      </c>
      <c r="B49" s="10">
        <f>IFERROR(DATEVALUE(messy_sales!B49), "Invalid Date")</f>
        <v>45605</v>
      </c>
      <c r="C49" s="9" t="str">
        <f>TRIM(messy_sales!C49)</f>
        <v>Mumbai Fresh Foods</v>
      </c>
      <c r="D49" s="9" t="str">
        <f>UPPER(TRIM(messy_sales!D49))</f>
        <v>IN</v>
      </c>
      <c r="E49" s="9" t="str">
        <f>messy_sales!E49</f>
        <v>APAC</v>
      </c>
      <c r="F49" s="9" t="str">
        <f>messy_sales!F49</f>
        <v>SMB</v>
      </c>
      <c r="G49" s="8">
        <f>IF(messy_sales!G49="", "Missing" , messy_sales!G49)</f>
        <v>740.04</v>
      </c>
    </row>
    <row r="50">
      <c r="A50" s="9" t="str">
        <f>messy_sales!A50</f>
        <v>ORD-01049</v>
      </c>
      <c r="B50" s="10">
        <f>IFERROR(DATEVALUE(messy_sales!B50), "Invalid Date")</f>
        <v>45803</v>
      </c>
      <c r="C50" s="9" t="str">
        <f>TRIM(messy_sales!C50)</f>
        <v>Tailspin Toys</v>
      </c>
      <c r="D50" s="9" t="str">
        <f>UPPER(TRIM(messy_sales!D50))</f>
        <v>CA</v>
      </c>
      <c r="E50" s="9" t="str">
        <f>messy_sales!E50</f>
        <v>North America</v>
      </c>
      <c r="F50" s="9" t="str">
        <f>messy_sales!F50</f>
        <v>SMB</v>
      </c>
      <c r="G50" s="8">
        <f>IF(messy_sales!G50="", "Missing" , messy_sales!G50)</f>
        <v>2895.75</v>
      </c>
    </row>
    <row r="51">
      <c r="A51" s="9" t="str">
        <f>messy_sales!A51</f>
        <v>ORD-01050</v>
      </c>
      <c r="B51" s="10">
        <f>IFERROR(DATEVALUE(messy_sales!B51), "Invalid Date")</f>
        <v>45667</v>
      </c>
      <c r="C51" s="9" t="str">
        <f>TRIM(messy_sales!C51)</f>
        <v>Pacific Northwest Co</v>
      </c>
      <c r="D51" s="9" t="str">
        <f>UPPER(TRIM(messy_sales!D51))</f>
        <v>US</v>
      </c>
      <c r="E51" s="9" t="str">
        <f>messy_sales!E51</f>
        <v>North America</v>
      </c>
      <c r="F51" s="9" t="str">
        <f>messy_sales!F51</f>
        <v>Mid-Market</v>
      </c>
      <c r="G51" s="8">
        <f>IF(messy_sales!G51="", "Missing" , messy_sales!G51)</f>
        <v>3453.29</v>
      </c>
    </row>
    <row r="52">
      <c r="A52" s="9" t="str">
        <f>messy_sales!A52</f>
        <v>ORD-01051</v>
      </c>
      <c r="B52" s="10">
        <f>IFERROR(DATEVALUE(messy_sales!B52), "Invalid Date")</f>
        <v>45425</v>
      </c>
      <c r="C52" s="9" t="str">
        <f>TRIM(messy_sales!C52)</f>
        <v>Mumbai Fresh Foods</v>
      </c>
      <c r="D52" s="9" t="str">
        <f>UPPER(TRIM(messy_sales!D52))</f>
        <v>IN</v>
      </c>
      <c r="E52" s="9" t="str">
        <f>messy_sales!E52</f>
        <v>APAC</v>
      </c>
      <c r="F52" s="9" t="str">
        <f>messy_sales!F52</f>
        <v>SMB</v>
      </c>
      <c r="G52" s="8">
        <f>IF(messy_sales!G52="", "Missing" , messy_sales!G52)</f>
        <v>1410.85</v>
      </c>
    </row>
    <row r="53">
      <c r="A53" s="9" t="str">
        <f>messy_sales!A53</f>
        <v>ORD-01052</v>
      </c>
      <c r="B53" s="10">
        <f>IFERROR(DATEVALUE(messy_sales!B53), "Invalid Date")</f>
        <v>45719</v>
      </c>
      <c r="C53" s="9" t="str">
        <f>TRIM(messy_sales!C53)</f>
        <v>Blue Yonder Airlines</v>
      </c>
      <c r="D53" s="9" t="str">
        <f>UPPER(TRIM(messy_sales!D53))</f>
        <v>US</v>
      </c>
      <c r="E53" s="9" t="str">
        <f>messy_sales!E53</f>
        <v>North America</v>
      </c>
      <c r="F53" s="9" t="str">
        <f>messy_sales!F53</f>
        <v>Enterprise</v>
      </c>
      <c r="G53" s="8">
        <f>IF(messy_sales!G53="", "Missing" , messy_sales!G53)</f>
        <v>35985.64</v>
      </c>
    </row>
    <row r="54">
      <c r="A54" s="9" t="str">
        <f>messy_sales!A54</f>
        <v>ORD-01053</v>
      </c>
      <c r="B54" s="10">
        <f>IFERROR(DATEVALUE(messy_sales!B54), "Invalid Date")</f>
        <v>45535</v>
      </c>
      <c r="C54" s="9" t="str">
        <f>TRIM(messy_sales!C54)</f>
        <v>Bengaluru Softworks</v>
      </c>
      <c r="D54" s="9" t="str">
        <f>UPPER(TRIM(messy_sales!D54))</f>
        <v>IN</v>
      </c>
      <c r="E54" s="9" t="str">
        <f>messy_sales!E54</f>
        <v>APAC</v>
      </c>
      <c r="F54" s="9" t="str">
        <f>messy_sales!F54</f>
        <v>Mid-Market</v>
      </c>
      <c r="G54" s="8">
        <f>IF(messy_sales!G54="", "Missing" , messy_sales!G54)</f>
        <v>4281.26</v>
      </c>
    </row>
    <row r="55">
      <c r="A55" s="9" t="str">
        <f>messy_sales!A55</f>
        <v>ORD-01054</v>
      </c>
      <c r="B55" s="10">
        <f>IFERROR(DATEVALUE(messy_sales!B55), "Invalid Date")</f>
        <v>45446</v>
      </c>
      <c r="C55" s="9" t="str">
        <f>TRIM(messy_sales!C55)</f>
        <v>Mumbai Fresh Foods</v>
      </c>
      <c r="D55" s="9" t="str">
        <f>UPPER(TRIM(messy_sales!D55))</f>
        <v>IN</v>
      </c>
      <c r="E55" s="9" t="str">
        <f>messy_sales!E55</f>
        <v>APAC</v>
      </c>
      <c r="F55" s="9" t="str">
        <f>messy_sales!F55</f>
        <v>SMB</v>
      </c>
      <c r="G55" s="8">
        <f>IF(messy_sales!G55="", "Missing" , messy_sales!G55)</f>
        <v>2520.3</v>
      </c>
    </row>
    <row r="56">
      <c r="A56" s="9" t="str">
        <f>messy_sales!A56</f>
        <v>ORD-01055</v>
      </c>
      <c r="B56" s="10">
        <f>IFERROR(DATEVALUE(messy_sales!B56), "Invalid Date")</f>
        <v>45635</v>
      </c>
      <c r="C56" s="9" t="str">
        <f>TRIM(messy_sales!C56)</f>
        <v>Adventure Works</v>
      </c>
      <c r="D56" s="9" t="str">
        <f>UPPER(TRIM(messy_sales!D56))</f>
        <v>CA</v>
      </c>
      <c r="E56" s="9" t="str">
        <f>messy_sales!E56</f>
        <v>North America</v>
      </c>
      <c r="F56" s="9" t="str">
        <f>messy_sales!F56</f>
        <v>Mid-Market</v>
      </c>
      <c r="G56" s="8">
        <f>IF(messy_sales!G56="", "Missing" , messy_sales!G56)</f>
        <v>4606.31</v>
      </c>
    </row>
    <row r="57">
      <c r="A57" s="9" t="str">
        <f>messy_sales!A57</f>
        <v>ORD-01056</v>
      </c>
      <c r="B57" s="10">
        <f>IFERROR(DATEVALUE(messy_sales!B57), "Invalid Date")</f>
        <v>45510</v>
      </c>
      <c r="C57" s="9" t="str">
        <f>TRIM(messy_sales!C57)</f>
        <v>Fabrikam Inc</v>
      </c>
      <c r="D57" s="9" t="str">
        <f>UPPER(TRIM(messy_sales!D57))</f>
        <v>US</v>
      </c>
      <c r="E57" s="9" t="str">
        <f>messy_sales!E57</f>
        <v>North America</v>
      </c>
      <c r="F57" s="9" t="str">
        <f>messy_sales!F57</f>
        <v>Mid-Market</v>
      </c>
      <c r="G57" s="8">
        <f>IF(messy_sales!G57="", "Missing" , messy_sales!G57)</f>
        <v>2969.74</v>
      </c>
    </row>
    <row r="58">
      <c r="A58" s="9" t="str">
        <f>messy_sales!A58</f>
        <v>ORD-01057</v>
      </c>
      <c r="B58" s="10">
        <f>IFERROR(DATEVALUE(messy_sales!B58), "Invalid Date")</f>
        <v>45755</v>
      </c>
      <c r="C58" s="9" t="str">
        <f>TRIM(messy_sales!C58)</f>
        <v>Wingtip Retail</v>
      </c>
      <c r="D58" s="9" t="str">
        <f>UPPER(TRIM(messy_sales!D58))</f>
        <v>US</v>
      </c>
      <c r="E58" s="9" t="str">
        <f>messy_sales!E58</f>
        <v>North America</v>
      </c>
      <c r="F58" s="9" t="str">
        <f>messy_sales!F58</f>
        <v>SMB</v>
      </c>
      <c r="G58" s="8">
        <f>IF(messy_sales!G58="", "Missing" , messy_sales!G58)</f>
        <v>1083.23</v>
      </c>
    </row>
    <row r="59">
      <c r="A59" s="9" t="str">
        <f>messy_sales!A59</f>
        <v>ORD-01058</v>
      </c>
      <c r="B59" s="10" t="str">
        <f>IFERROR(DATEVALUE(messy_sales!B59), "Invalid Date")</f>
        <v>Invalid Date</v>
      </c>
      <c r="C59" s="9" t="str">
        <f>TRIM(messy_sales!C59)</f>
        <v>Mumbai Fresh Foods</v>
      </c>
      <c r="D59" s="9" t="str">
        <f>UPPER(TRIM(messy_sales!D59))</f>
        <v>IN</v>
      </c>
      <c r="E59" s="9" t="str">
        <f>messy_sales!E59</f>
        <v>APAC</v>
      </c>
      <c r="F59" s="9" t="str">
        <f>messy_sales!F59</f>
        <v>SMB</v>
      </c>
      <c r="G59" s="8">
        <f>IF(messy_sales!G59="", "Missing" , messy_sales!G59)</f>
        <v>1980.07</v>
      </c>
    </row>
    <row r="60">
      <c r="A60" s="9" t="str">
        <f>messy_sales!A60</f>
        <v>ORD-01059</v>
      </c>
      <c r="B60" s="10">
        <f>IFERROR(DATEVALUE(messy_sales!B60), "Invalid Date")</f>
        <v>45498</v>
      </c>
      <c r="C60" s="9" t="str">
        <f>TRIM(messy_sales!C60)</f>
        <v>Pacific Northwest Co</v>
      </c>
      <c r="D60" s="9" t="str">
        <f>UPPER(TRIM(messy_sales!D60))</f>
        <v>US</v>
      </c>
      <c r="E60" s="9" t="str">
        <f>messy_sales!E60</f>
        <v>North America</v>
      </c>
      <c r="F60" s="9" t="str">
        <f>messy_sales!F60</f>
        <v>Mid-Market</v>
      </c>
      <c r="G60" s="8">
        <f>IF(messy_sales!G60="", "Missing" , messy_sales!G60)</f>
        <v>7437.14</v>
      </c>
    </row>
    <row r="61">
      <c r="A61" s="9" t="str">
        <f>messy_sales!A61</f>
        <v>ORD-01060</v>
      </c>
      <c r="B61" s="10">
        <f>IFERROR(DATEVALUE(messy_sales!B61), "Invalid Date")</f>
        <v>45740</v>
      </c>
      <c r="C61" s="9" t="str">
        <f>TRIM(messy_sales!C61)</f>
        <v>Adventure Works</v>
      </c>
      <c r="D61" s="9" t="str">
        <f>UPPER(TRIM(messy_sales!D61))</f>
        <v>CA</v>
      </c>
      <c r="E61" s="9" t="str">
        <f>messy_sales!E61</f>
        <v>North America</v>
      </c>
      <c r="F61" s="9" t="str">
        <f>messy_sales!F61</f>
        <v>Mid-Market</v>
      </c>
      <c r="G61" s="8">
        <f>IF(messy_sales!G61="", "Missing" , messy_sales!G61)</f>
        <v>4945.43</v>
      </c>
    </row>
    <row r="62">
      <c r="A62" s="9" t="str">
        <f>messy_sales!A62</f>
        <v>ORD-01061</v>
      </c>
      <c r="B62" s="10" t="str">
        <f>IFERROR(DATEVALUE(messy_sales!B62), "Invalid Date")</f>
        <v>Invalid Date</v>
      </c>
      <c r="C62" s="9" t="str">
        <f>TRIM(messy_sales!C62)</f>
        <v>Wide World Importers</v>
      </c>
      <c r="D62" s="9" t="str">
        <f>UPPER(TRIM(messy_sales!D62))</f>
        <v>GB</v>
      </c>
      <c r="E62" s="9" t="str">
        <f>messy_sales!E62</f>
        <v>EMEA</v>
      </c>
      <c r="F62" s="9" t="str">
        <f>messy_sales!F62</f>
        <v>Mid-Market</v>
      </c>
      <c r="G62" s="8">
        <f>IF(messy_sales!G62="", "Missing" , messy_sales!G62)</f>
        <v>7407.41</v>
      </c>
    </row>
    <row r="63">
      <c r="A63" s="9" t="str">
        <f>messy_sales!A63</f>
        <v>ORD-01062</v>
      </c>
      <c r="B63" s="10">
        <f>IFERROR(DATEVALUE(messy_sales!B63), "Invalid Date")</f>
        <v>45476</v>
      </c>
      <c r="C63" s="9" t="str">
        <f>TRIM(messy_sales!C63)</f>
        <v>Northwind Traders</v>
      </c>
      <c r="D63" s="9" t="str">
        <f>UPPER(TRIM(messy_sales!D63))</f>
        <v>US</v>
      </c>
      <c r="E63" s="9" t="str">
        <f>messy_sales!E63</f>
        <v>North America</v>
      </c>
      <c r="F63" s="9" t="str">
        <f>messy_sales!F63</f>
        <v>Enterprise</v>
      </c>
      <c r="G63" s="8">
        <f>IF(messy_sales!G63="", "Missing" , messy_sales!G63)</f>
        <v>17910.97</v>
      </c>
    </row>
    <row r="64">
      <c r="A64" s="9" t="str">
        <f>messy_sales!A64</f>
        <v>ORD-01063</v>
      </c>
      <c r="B64" s="10">
        <f>IFERROR(DATEVALUE(messy_sales!B64), "Invalid Date")</f>
        <v>45576</v>
      </c>
      <c r="C64" s="9" t="str">
        <f>TRIM(messy_sales!C64)</f>
        <v>Proseware GmbH</v>
      </c>
      <c r="D64" s="9" t="str">
        <f>UPPER(TRIM(messy_sales!D64))</f>
        <v>DE</v>
      </c>
      <c r="E64" s="9" t="str">
        <f>messy_sales!E64</f>
        <v>EMEA</v>
      </c>
      <c r="F64" s="9" t="str">
        <f>messy_sales!F64</f>
        <v>Enterprise</v>
      </c>
      <c r="G64" s="8">
        <f>IF(messy_sales!G64="", "Missing" , messy_sales!G64)</f>
        <v>11829.28</v>
      </c>
    </row>
    <row r="65">
      <c r="A65" s="9" t="str">
        <f>messy_sales!A65</f>
        <v>ORD-01064</v>
      </c>
      <c r="B65" s="10">
        <f>IFERROR(DATEVALUE(messy_sales!B65), "Invalid Date")</f>
        <v>45760</v>
      </c>
      <c r="C65" s="9" t="str">
        <f>TRIM(messy_sales!C65)</f>
        <v>Fabrikam Inc</v>
      </c>
      <c r="D65" s="9" t="str">
        <f>UPPER(TRIM(messy_sales!D65))</f>
        <v>US</v>
      </c>
      <c r="E65" s="9" t="str">
        <f>messy_sales!E65</f>
        <v>North America</v>
      </c>
      <c r="F65" s="9" t="str">
        <f>messy_sales!F65</f>
        <v>Mid-Market</v>
      </c>
      <c r="G65" s="8">
        <f>IF(messy_sales!G65="", "Missing" , messy_sales!G65)</f>
        <v>4776.12</v>
      </c>
    </row>
    <row r="66">
      <c r="A66" s="9" t="str">
        <f>messy_sales!A66</f>
        <v>ORD-01065</v>
      </c>
      <c r="B66" s="10">
        <f>IFERROR(DATEVALUE(messy_sales!B66), "Invalid Date")</f>
        <v>45452</v>
      </c>
      <c r="C66" s="9" t="str">
        <f>TRIM(messy_sales!C66)</f>
        <v>Mumbai Fresh Foods</v>
      </c>
      <c r="D66" s="9" t="str">
        <f>UPPER(TRIM(messy_sales!D66))</f>
        <v>IN</v>
      </c>
      <c r="E66" s="9" t="str">
        <f>messy_sales!E66</f>
        <v>APAC</v>
      </c>
      <c r="F66" s="9" t="str">
        <f>messy_sales!F66</f>
        <v>SMB</v>
      </c>
      <c r="G66" s="8">
        <f>IF(messy_sales!G66="", "Missing" , messy_sales!G66)</f>
        <v>2033.52</v>
      </c>
    </row>
    <row r="67">
      <c r="A67" s="9" t="str">
        <f>messy_sales!A67</f>
        <v>ORD-01066</v>
      </c>
      <c r="B67" s="10">
        <f>IFERROR(DATEVALUE(messy_sales!B67), "Invalid Date")</f>
        <v>45556</v>
      </c>
      <c r="C67" s="9" t="str">
        <f>TRIM(messy_sales!C67)</f>
        <v>Tailspin Toys</v>
      </c>
      <c r="D67" s="9" t="str">
        <f>UPPER(TRIM(messy_sales!D67))</f>
        <v>CA</v>
      </c>
      <c r="E67" s="9" t="str">
        <f>messy_sales!E67</f>
        <v>North America</v>
      </c>
      <c r="F67" s="9" t="str">
        <f>messy_sales!F67</f>
        <v>SMB</v>
      </c>
      <c r="G67" s="8">
        <f>IF(messy_sales!G67="", "Missing" , messy_sales!G67)</f>
        <v>422.56</v>
      </c>
    </row>
    <row r="68">
      <c r="A68" s="9" t="str">
        <f>messy_sales!A68</f>
        <v>ORD-01067</v>
      </c>
      <c r="B68" s="10">
        <f>IFERROR(DATEVALUE(messy_sales!B68), "Invalid Date")</f>
        <v>45352</v>
      </c>
      <c r="C68" s="9" t="str">
        <f>TRIM(messy_sales!C68)</f>
        <v>Sydney Harbour Goods</v>
      </c>
      <c r="D68" s="9" t="str">
        <f>UPPER(TRIM(messy_sales!D68))</f>
        <v>AU</v>
      </c>
      <c r="E68" s="9" t="str">
        <f>messy_sales!E68</f>
        <v>APAC</v>
      </c>
      <c r="F68" s="9" t="str">
        <f>messy_sales!F68</f>
        <v>SMB</v>
      </c>
      <c r="G68" s="8">
        <f>IF(messy_sales!G68="", "Missing" , messy_sales!G68)</f>
        <v>1377.24</v>
      </c>
    </row>
    <row r="69">
      <c r="A69" s="9" t="str">
        <f>messy_sales!A69</f>
        <v>ORD-01068</v>
      </c>
      <c r="B69" s="10" t="str">
        <f>IFERROR(DATEVALUE(messy_sales!B69), "Invalid Date")</f>
        <v>Invalid Date</v>
      </c>
      <c r="C69" s="9" t="str">
        <f>TRIM(messy_sales!C69)</f>
        <v>Northwind Traders</v>
      </c>
      <c r="D69" s="9" t="str">
        <f>UPPER(TRIM(messy_sales!D69))</f>
        <v>US</v>
      </c>
      <c r="E69" s="9" t="str">
        <f>messy_sales!E69</f>
        <v>North America</v>
      </c>
      <c r="F69" s="9" t="str">
        <f>messy_sales!F69</f>
        <v>Enterprise</v>
      </c>
      <c r="G69" s="8">
        <f>IF(messy_sales!G69="", "Missing" , messy_sales!G69)</f>
        <v>36783.32</v>
      </c>
    </row>
    <row r="70">
      <c r="A70" s="9" t="str">
        <f>messy_sales!A70</f>
        <v>ORD-01069</v>
      </c>
      <c r="B70" s="10">
        <f>IFERROR(DATEVALUE(messy_sales!B70), "Invalid Date")</f>
        <v>45740</v>
      </c>
      <c r="C70" s="9" t="str">
        <f>TRIM(messy_sales!C70)</f>
        <v>Wingtip Retail</v>
      </c>
      <c r="D70" s="9" t="str">
        <f>UPPER(TRIM(messy_sales!D70))</f>
        <v>US</v>
      </c>
      <c r="E70" s="9" t="str">
        <f>messy_sales!E70</f>
        <v>North America</v>
      </c>
      <c r="F70" s="9" t="str">
        <f>messy_sales!F70</f>
        <v>SMB</v>
      </c>
      <c r="G70" s="8">
        <f>IF(messy_sales!G70="", "Missing" , messy_sales!G70)</f>
        <v>2066.58</v>
      </c>
    </row>
    <row r="71">
      <c r="A71" s="9" t="str">
        <f>messy_sales!A71</f>
        <v>ORD-01070</v>
      </c>
      <c r="B71" s="10">
        <f>IFERROR(DATEVALUE(messy_sales!B71), "Invalid Date")</f>
        <v>45456</v>
      </c>
      <c r="C71" s="9" t="str">
        <f>TRIM(messy_sales!C71)</f>
        <v>Blue Yonder Airlines</v>
      </c>
      <c r="D71" s="9" t="str">
        <f>UPPER(TRIM(messy_sales!D71))</f>
        <v>US</v>
      </c>
      <c r="E71" s="9" t="str">
        <f>messy_sales!E71</f>
        <v>North America</v>
      </c>
      <c r="F71" s="9" t="str">
        <f>messy_sales!F71</f>
        <v>Enterprise</v>
      </c>
      <c r="G71" s="8">
        <f>IF(messy_sales!G71="", "Missing" , messy_sales!G71)</f>
        <v>8522.51</v>
      </c>
    </row>
    <row r="72">
      <c r="A72" s="9" t="str">
        <f>messy_sales!A72</f>
        <v>ORD-01071</v>
      </c>
      <c r="B72" s="10">
        <f>IFERROR(DATEVALUE(messy_sales!B72), "Invalid Date")</f>
        <v>45785</v>
      </c>
      <c r="C72" s="9" t="str">
        <f>TRIM(messy_sales!C72)</f>
        <v>Emirates Retail Group</v>
      </c>
      <c r="D72" s="9" t="str">
        <f>UPPER(TRIM(messy_sales!D72))</f>
        <v>AE</v>
      </c>
      <c r="E72" s="9" t="str">
        <f>messy_sales!E72</f>
        <v>EMEA</v>
      </c>
      <c r="F72" s="9" t="str">
        <f>messy_sales!F72</f>
        <v>Enterprise</v>
      </c>
      <c r="G72" s="8">
        <f>IF(messy_sales!G72="", "Missing" , messy_sales!G72)</f>
        <v>32674.33</v>
      </c>
    </row>
    <row r="73">
      <c r="A73" s="9" t="str">
        <f>messy_sales!A73</f>
        <v>ORD-01072</v>
      </c>
      <c r="B73" s="10">
        <f>IFERROR(DATEVALUE(messy_sales!B73), "Invalid Date")</f>
        <v>45431</v>
      </c>
      <c r="C73" s="9" t="str">
        <f>TRIM(messy_sales!C73)</f>
        <v>Proseware GmbH</v>
      </c>
      <c r="D73" s="9" t="str">
        <f>UPPER(TRIM(messy_sales!D73))</f>
        <v>DE</v>
      </c>
      <c r="E73" s="9" t="str">
        <f>messy_sales!E73</f>
        <v>EMEA</v>
      </c>
      <c r="F73" s="9" t="str">
        <f>messy_sales!F73</f>
        <v>Enterprise</v>
      </c>
      <c r="G73" s="8">
        <f>IF(messy_sales!G73="", "Missing" , messy_sales!G73)</f>
        <v>17547.54</v>
      </c>
    </row>
    <row r="74">
      <c r="A74" s="9" t="str">
        <f>messy_sales!A74</f>
        <v>ORD-01073</v>
      </c>
      <c r="B74" s="10" t="str">
        <f>IFERROR(DATEVALUE(messy_sales!B74), "Invalid Date")</f>
        <v>Invalid Date</v>
      </c>
      <c r="C74" s="9" t="str">
        <f>TRIM(messy_sales!C74)</f>
        <v>Emirates Retail Group</v>
      </c>
      <c r="D74" s="9" t="str">
        <f>UPPER(TRIM(messy_sales!D74))</f>
        <v>AE</v>
      </c>
      <c r="E74" s="9" t="str">
        <f>messy_sales!E74</f>
        <v>EMEA</v>
      </c>
      <c r="F74" s="9" t="str">
        <f>messy_sales!F74</f>
        <v>Enterprise</v>
      </c>
      <c r="G74" s="8">
        <f>IF(messy_sales!G74="", "Missing" , messy_sales!G74)</f>
        <v>26218.25</v>
      </c>
    </row>
    <row r="75">
      <c r="A75" s="9" t="str">
        <f>messy_sales!A75</f>
        <v>ORD-01074</v>
      </c>
      <c r="B75" s="10">
        <f>IFERROR(DATEVALUE(messy_sales!B75), "Invalid Date")</f>
        <v>45380</v>
      </c>
      <c r="C75" s="9" t="str">
        <f>TRIM(messy_sales!C75)</f>
        <v>Fabrikam Inc</v>
      </c>
      <c r="D75" s="9" t="str">
        <f>UPPER(TRIM(messy_sales!D75))</f>
        <v>US</v>
      </c>
      <c r="E75" s="9" t="str">
        <f>messy_sales!E75</f>
        <v>North America</v>
      </c>
      <c r="F75" s="9" t="str">
        <f>messy_sales!F75</f>
        <v>Mid-Market</v>
      </c>
      <c r="G75" s="8">
        <f>IF(messy_sales!G75="", "Missing" , messy_sales!G75)</f>
        <v>7903.69</v>
      </c>
    </row>
    <row r="76">
      <c r="A76" s="9" t="str">
        <f>messy_sales!A76</f>
        <v>ORD-01075</v>
      </c>
      <c r="B76" s="10">
        <f>IFERROR(DATEVALUE(messy_sales!B76), "Invalid Date")</f>
        <v>45520</v>
      </c>
      <c r="C76" s="9" t="str">
        <f>TRIM(messy_sales!C76)</f>
        <v>Coho Vineyard</v>
      </c>
      <c r="D76" s="9" t="str">
        <f>UPPER(TRIM(messy_sales!D76))</f>
        <v>US</v>
      </c>
      <c r="E76" s="9" t="str">
        <f>messy_sales!E76</f>
        <v>North America</v>
      </c>
      <c r="F76" s="9" t="str">
        <f>messy_sales!F76</f>
        <v>SMB</v>
      </c>
      <c r="G76" s="8">
        <f>IF(messy_sales!G76="", "Missing" , messy_sales!G76)</f>
        <v>1182.01</v>
      </c>
    </row>
    <row r="77">
      <c r="A77" s="9" t="str">
        <f>messy_sales!A77</f>
        <v>ORD-01076</v>
      </c>
      <c r="B77" s="10">
        <f>IFERROR(DATEVALUE(messy_sales!B77), "Invalid Date")</f>
        <v>45826</v>
      </c>
      <c r="C77" s="9" t="str">
        <f>TRIM(messy_sales!C77)</f>
        <v>Gulf Logistics</v>
      </c>
      <c r="D77" s="9" t="str">
        <f>UPPER(TRIM(messy_sales!D77))</f>
        <v>AE</v>
      </c>
      <c r="E77" s="9" t="str">
        <f>messy_sales!E77</f>
        <v>EMEA</v>
      </c>
      <c r="F77" s="9" t="str">
        <f>messy_sales!F77</f>
        <v>Enterprise</v>
      </c>
      <c r="G77" s="8">
        <f>IF(messy_sales!G77="", "Missing" , messy_sales!G77)</f>
        <v>39489.73</v>
      </c>
    </row>
    <row r="78">
      <c r="A78" s="9" t="str">
        <f>messy_sales!A78</f>
        <v>ORD-01077</v>
      </c>
      <c r="B78" s="10">
        <f>IFERROR(DATEVALUE(messy_sales!B78), "Invalid Date")</f>
        <v>45340</v>
      </c>
      <c r="C78" s="9" t="str">
        <f>TRIM(messy_sales!C78)</f>
        <v>Maple Leaf Distributors</v>
      </c>
      <c r="D78" s="9" t="str">
        <f>UPPER(TRIM(messy_sales!D78))</f>
        <v>CA</v>
      </c>
      <c r="E78" s="9" t="str">
        <f>messy_sales!E78</f>
        <v>North America</v>
      </c>
      <c r="F78" s="9" t="str">
        <f>messy_sales!F78</f>
        <v>Enterprise</v>
      </c>
      <c r="G78" s="8">
        <f>IF(messy_sales!G78="", "Missing" , messy_sales!G78)</f>
        <v>40969.5</v>
      </c>
    </row>
    <row r="79">
      <c r="A79" s="9" t="str">
        <f>messy_sales!A79</f>
        <v>ORD-01078</v>
      </c>
      <c r="B79" s="10">
        <f>IFERROR(DATEVALUE(messy_sales!B79), "Invalid Date")</f>
        <v>45705</v>
      </c>
      <c r="C79" s="9" t="str">
        <f>TRIM(messy_sales!C79)</f>
        <v>Nordwind Energie</v>
      </c>
      <c r="D79" s="9" t="str">
        <f>UPPER(TRIM(messy_sales!D79))</f>
        <v>DE</v>
      </c>
      <c r="E79" s="9" t="str">
        <f>messy_sales!E79</f>
        <v>EMEA</v>
      </c>
      <c r="F79" s="9" t="str">
        <f>messy_sales!F79</f>
        <v>Mid-Market</v>
      </c>
      <c r="G79" s="8">
        <f>IF(messy_sales!G79="", "Missing" , messy_sales!G79)</f>
        <v>6863.73</v>
      </c>
    </row>
    <row r="80">
      <c r="A80" s="9" t="str">
        <f>messy_sales!A80</f>
        <v>ORD-01079</v>
      </c>
      <c r="B80" s="10">
        <f>IFERROR(DATEVALUE(messy_sales!B80), "Invalid Date")</f>
        <v>45764</v>
      </c>
      <c r="C80" s="9" t="str">
        <f>TRIM(messy_sales!C80)</f>
        <v>Delhi Textiles</v>
      </c>
      <c r="D80" s="9" t="str">
        <f>UPPER(TRIM(messy_sales!D80))</f>
        <v>IN</v>
      </c>
      <c r="E80" s="9" t="str">
        <f>messy_sales!E80</f>
        <v>APAC</v>
      </c>
      <c r="F80" s="9" t="str">
        <f>messy_sales!F80</f>
        <v>SMB</v>
      </c>
      <c r="G80" s="8">
        <f>IF(messy_sales!G80="", "Missing" , messy_sales!G80)</f>
        <v>3368.18</v>
      </c>
    </row>
    <row r="81">
      <c r="A81" s="9" t="str">
        <f>messy_sales!A81</f>
        <v>ORD-01080</v>
      </c>
      <c r="B81" s="10">
        <f>IFERROR(DATEVALUE(messy_sales!B81), "Invalid Date")</f>
        <v>45483</v>
      </c>
      <c r="C81" s="9" t="str">
        <f>TRIM(messy_sales!C81)</f>
        <v>Lion City Traders</v>
      </c>
      <c r="D81" s="9" t="str">
        <f>UPPER(TRIM(messy_sales!D81))</f>
        <v>SG</v>
      </c>
      <c r="E81" s="9" t="str">
        <f>messy_sales!E81</f>
        <v>APAC</v>
      </c>
      <c r="F81" s="9" t="str">
        <f>messy_sales!F81</f>
        <v>Mid-Market</v>
      </c>
      <c r="G81" s="8">
        <f>IF(messy_sales!G81="", "Missing" , messy_sales!G81)</f>
        <v>6296.03</v>
      </c>
    </row>
    <row r="82">
      <c r="A82" s="9" t="str">
        <f>messy_sales!A82</f>
        <v>ORD-01081</v>
      </c>
      <c r="B82" s="10" t="str">
        <f>IFERROR(DATEVALUE(messy_sales!B82), "Invalid Date")</f>
        <v>Invalid Date</v>
      </c>
      <c r="C82" s="9" t="str">
        <f>TRIM(messy_sales!C82)</f>
        <v>Wide World Importers</v>
      </c>
      <c r="D82" s="9" t="str">
        <f>UPPER(TRIM(messy_sales!D82))</f>
        <v>GB</v>
      </c>
      <c r="E82" s="9" t="str">
        <f>messy_sales!E82</f>
        <v>EMEA</v>
      </c>
      <c r="F82" s="9" t="str">
        <f>messy_sales!F82</f>
        <v>Mid-Market</v>
      </c>
      <c r="G82" s="8">
        <f>IF(messy_sales!G82="", "Missing" , messy_sales!G82)</f>
        <v>7877.92</v>
      </c>
    </row>
    <row r="83">
      <c r="A83" s="9" t="str">
        <f>messy_sales!A83</f>
        <v>ORD-01082</v>
      </c>
      <c r="B83" s="10">
        <f>IFERROR(DATEVALUE(messy_sales!B83), "Invalid Date")</f>
        <v>45700</v>
      </c>
      <c r="C83" s="9" t="str">
        <f>TRIM(messy_sales!C83)</f>
        <v>Great Barrier Retail</v>
      </c>
      <c r="D83" s="9" t="str">
        <f>UPPER(TRIM(messy_sales!D83))</f>
        <v>AU</v>
      </c>
      <c r="E83" s="9" t="str">
        <f>messy_sales!E83</f>
        <v>APAC</v>
      </c>
      <c r="F83" s="9" t="str">
        <f>messy_sales!F83</f>
        <v>SMB</v>
      </c>
      <c r="G83" s="8">
        <f>IF(messy_sales!G83="", "Missing" , messy_sales!G83)</f>
        <v>2802.03</v>
      </c>
    </row>
    <row r="84">
      <c r="A84" s="9" t="str">
        <f>messy_sales!A84</f>
        <v>ORD-01083</v>
      </c>
      <c r="B84" s="10">
        <f>IFERROR(DATEVALUE(messy_sales!B84), "Invalid Date")</f>
        <v>45458</v>
      </c>
      <c r="C84" s="9" t="str">
        <f>TRIM(messy_sales!C84)</f>
        <v>Proseware GmbH</v>
      </c>
      <c r="D84" s="9" t="str">
        <f>UPPER(TRIM(messy_sales!D84))</f>
        <v>DE</v>
      </c>
      <c r="E84" s="9" t="str">
        <f>messy_sales!E84</f>
        <v>EMEA</v>
      </c>
      <c r="F84" s="9" t="str">
        <f>messy_sales!F84</f>
        <v>Enterprise</v>
      </c>
      <c r="G84" s="8">
        <f>IF(messy_sales!G84="", "Missing" , messy_sales!G84)</f>
        <v>12114.85</v>
      </c>
    </row>
    <row r="85">
      <c r="A85" s="9" t="str">
        <f>messy_sales!A85</f>
        <v>ORD-01084</v>
      </c>
      <c r="B85" s="10">
        <f>IFERROR(DATEVALUE(messy_sales!B85), "Invalid Date")</f>
        <v>45463</v>
      </c>
      <c r="C85" s="9" t="str">
        <f>TRIM(messy_sales!C85)</f>
        <v>Marina Bay Retail</v>
      </c>
      <c r="D85" s="9" t="str">
        <f>UPPER(TRIM(messy_sales!D85))</f>
        <v>SG</v>
      </c>
      <c r="E85" s="9" t="str">
        <f>messy_sales!E85</f>
        <v>APAC</v>
      </c>
      <c r="F85" s="9" t="str">
        <f>messy_sales!F85</f>
        <v>Enterprise</v>
      </c>
      <c r="G85" s="8">
        <f>IF(messy_sales!G85="", "Missing" , messy_sales!G85)</f>
        <v>10427.6</v>
      </c>
    </row>
    <row r="86">
      <c r="A86" s="9" t="str">
        <f>messy_sales!A86</f>
        <v>ORD-01085</v>
      </c>
      <c r="B86" s="10">
        <f>IFERROR(DATEVALUE(messy_sales!B86), "Invalid Date")</f>
        <v>45685</v>
      </c>
      <c r="C86" s="9" t="str">
        <f>TRIM(messy_sales!C86)</f>
        <v>Tailspin Toys</v>
      </c>
      <c r="D86" s="9" t="str">
        <f>UPPER(TRIM(messy_sales!D86))</f>
        <v>CA</v>
      </c>
      <c r="E86" s="9" t="str">
        <f>messy_sales!E86</f>
        <v>North America</v>
      </c>
      <c r="F86" s="9" t="str">
        <f>messy_sales!F86</f>
        <v>SMB</v>
      </c>
      <c r="G86" s="8">
        <f>IF(messy_sales!G86="", "Missing" , messy_sales!G86)</f>
        <v>692.2</v>
      </c>
    </row>
    <row r="87">
      <c r="A87" s="9" t="str">
        <f>messy_sales!A87</f>
        <v>ORD-01086</v>
      </c>
      <c r="B87" s="10">
        <f>IFERROR(DATEVALUE(messy_sales!B87), "Invalid Date")</f>
        <v>45693</v>
      </c>
      <c r="C87" s="9" t="str">
        <f>TRIM(messy_sales!C87)</f>
        <v>Gulf Logistics</v>
      </c>
      <c r="D87" s="9" t="str">
        <f>UPPER(TRIM(messy_sales!D87))</f>
        <v>AE</v>
      </c>
      <c r="E87" s="9" t="str">
        <f>messy_sales!E87</f>
        <v>EMEA</v>
      </c>
      <c r="F87" s="9" t="str">
        <f>messy_sales!F87</f>
        <v>Enterprise</v>
      </c>
      <c r="G87" s="8">
        <f>IF(messy_sales!G87="", "Missing" , messy_sales!G87)</f>
        <v>13352.6</v>
      </c>
    </row>
    <row r="88">
      <c r="A88" s="9" t="str">
        <f>messy_sales!A88</f>
        <v>ORD-01087</v>
      </c>
      <c r="B88" s="10">
        <f>IFERROR(DATEVALUE(messy_sales!B88), "Invalid Date")</f>
        <v>45354</v>
      </c>
      <c r="C88" s="9" t="str">
        <f>TRIM(messy_sales!C88)</f>
        <v>Wingtip Retail</v>
      </c>
      <c r="D88" s="9" t="str">
        <f>UPPER(TRIM(messy_sales!D88))</f>
        <v>US</v>
      </c>
      <c r="E88" s="9" t="str">
        <f>messy_sales!E88</f>
        <v>North America</v>
      </c>
      <c r="F88" s="9" t="str">
        <f>messy_sales!F88</f>
        <v>SMB</v>
      </c>
      <c r="G88" s="8">
        <f>IF(messy_sales!G88="", "Missing" , messy_sales!G88)</f>
        <v>2087.18</v>
      </c>
    </row>
    <row r="89">
      <c r="A89" s="9" t="str">
        <f>messy_sales!A89</f>
        <v>ORD-01088</v>
      </c>
      <c r="B89" s="10">
        <f>IFERROR(DATEVALUE(messy_sales!B89), "Invalid Date")</f>
        <v>45714</v>
      </c>
      <c r="C89" s="9" t="str">
        <f>TRIM(messy_sales!C89)</f>
        <v>Fabrikam Inc</v>
      </c>
      <c r="D89" s="9" t="str">
        <f>UPPER(TRIM(messy_sales!D89))</f>
        <v>US</v>
      </c>
      <c r="E89" s="9" t="str">
        <f>messy_sales!E89</f>
        <v>North America</v>
      </c>
      <c r="F89" s="9" t="str">
        <f>messy_sales!F89</f>
        <v>Mid-Market</v>
      </c>
      <c r="G89" s="8">
        <f>IF(messy_sales!G89="", "Missing" , messy_sales!G89)</f>
        <v>6900.64</v>
      </c>
    </row>
    <row r="90">
      <c r="A90" s="9" t="str">
        <f>messy_sales!A90</f>
        <v>ORD-01089</v>
      </c>
      <c r="B90" s="10">
        <f>IFERROR(DATEVALUE(messy_sales!B90), "Invalid Date")</f>
        <v>45468</v>
      </c>
      <c r="C90" s="9" t="str">
        <f>TRIM(messy_sales!C90)</f>
        <v>Marina Bay Retail</v>
      </c>
      <c r="D90" s="9" t="str">
        <f>UPPER(TRIM(messy_sales!D90))</f>
        <v>SG</v>
      </c>
      <c r="E90" s="9" t="str">
        <f>messy_sales!E90</f>
        <v>APAC</v>
      </c>
      <c r="F90" s="9" t="str">
        <f>messy_sales!F90</f>
        <v>Enterprise</v>
      </c>
      <c r="G90" s="8">
        <f>IF(messy_sales!G90="", "Missing" , messy_sales!G90)</f>
        <v>41781.18</v>
      </c>
    </row>
    <row r="91">
      <c r="A91" s="9" t="str">
        <f>messy_sales!A91</f>
        <v>ORD-01090</v>
      </c>
      <c r="B91" s="10">
        <f>IFERROR(DATEVALUE(messy_sales!B91), "Invalid Date")</f>
        <v>45386</v>
      </c>
      <c r="C91" s="9" t="str">
        <f>TRIM(messy_sales!C91)</f>
        <v>Northwind Traders</v>
      </c>
      <c r="D91" s="9" t="str">
        <f>UPPER(TRIM(messy_sales!D91))</f>
        <v>US</v>
      </c>
      <c r="E91" s="9" t="str">
        <f>messy_sales!E91</f>
        <v>North America</v>
      </c>
      <c r="F91" s="9" t="str">
        <f>messy_sales!F91</f>
        <v>Enterprise</v>
      </c>
      <c r="G91" s="8">
        <f>IF(messy_sales!G91="", "Missing" , messy_sales!G91)</f>
        <v>8103.83</v>
      </c>
    </row>
    <row r="92">
      <c r="A92" s="9" t="str">
        <f>messy_sales!A92</f>
        <v>ORD-01091</v>
      </c>
      <c r="B92" s="10">
        <f>IFERROR(DATEVALUE(messy_sales!B92), "Invalid Date")</f>
        <v>45604</v>
      </c>
      <c r="C92" s="9" t="str">
        <f>TRIM(messy_sales!C92)</f>
        <v>Graphic Design Institute</v>
      </c>
      <c r="D92" s="9" t="str">
        <f>UPPER(TRIM(messy_sales!D92))</f>
        <v>GB</v>
      </c>
      <c r="E92" s="9" t="str">
        <f>messy_sales!E92</f>
        <v>EMEA</v>
      </c>
      <c r="F92" s="9" t="str">
        <f>messy_sales!F92</f>
        <v>SMB</v>
      </c>
      <c r="G92" s="8">
        <f>IF(messy_sales!G92="", "Missing" , messy_sales!G92)</f>
        <v>3379.14</v>
      </c>
    </row>
    <row r="93">
      <c r="A93" s="9" t="str">
        <f>messy_sales!A93</f>
        <v>ORD-01092</v>
      </c>
      <c r="B93" s="10">
        <f>IFERROR(DATEVALUE(messy_sales!B93), "Invalid Date")</f>
        <v>45742</v>
      </c>
      <c r="C93" s="9" t="str">
        <f>TRIM(messy_sales!C93)</f>
        <v>Blue Yonder Airlines</v>
      </c>
      <c r="D93" s="9" t="str">
        <f>UPPER(TRIM(messy_sales!D93))</f>
        <v>US</v>
      </c>
      <c r="E93" s="9" t="str">
        <f>messy_sales!E93</f>
        <v>North America</v>
      </c>
      <c r="F93" s="9" t="str">
        <f>messy_sales!F93</f>
        <v>Enterprise</v>
      </c>
      <c r="G93" s="8">
        <f>IF(messy_sales!G93="", "Missing" , messy_sales!G93)</f>
        <v>16518.64</v>
      </c>
    </row>
    <row r="94">
      <c r="A94" s="9" t="str">
        <f>messy_sales!A94</f>
        <v>ORD-01093</v>
      </c>
      <c r="B94" s="10">
        <f>IFERROR(DATEVALUE(messy_sales!B94), "Invalid Date")</f>
        <v>45616</v>
      </c>
      <c r="C94" s="9" t="str">
        <f>TRIM(messy_sales!C94)</f>
        <v>Hanseatic Imports</v>
      </c>
      <c r="D94" s="9" t="str">
        <f>UPPER(TRIM(messy_sales!D94))</f>
        <v>DE</v>
      </c>
      <c r="E94" s="9" t="str">
        <f>messy_sales!E94</f>
        <v>EMEA</v>
      </c>
      <c r="F94" s="9" t="str">
        <f>messy_sales!F94</f>
        <v>SMB</v>
      </c>
      <c r="G94" s="8">
        <f>IF(messy_sales!G94="", "Missing" , messy_sales!G94)</f>
        <v>1475.97</v>
      </c>
    </row>
    <row r="95">
      <c r="A95" s="9" t="str">
        <f>messy_sales!A95</f>
        <v>ORD-01094</v>
      </c>
      <c r="B95" s="10">
        <f>IFERROR(DATEVALUE(messy_sales!B95), "Invalid Date")</f>
        <v>45381</v>
      </c>
      <c r="C95" s="9" t="str">
        <f>TRIM(messy_sales!C95)</f>
        <v>Sydney Harbour Goods</v>
      </c>
      <c r="D95" s="9" t="str">
        <f>UPPER(TRIM(messy_sales!D95))</f>
        <v>AU</v>
      </c>
      <c r="E95" s="9" t="str">
        <f>messy_sales!E95</f>
        <v>APAC</v>
      </c>
      <c r="F95" s="9" t="str">
        <f>messy_sales!F95</f>
        <v>SMB</v>
      </c>
      <c r="G95" s="8">
        <f>IF(messy_sales!G95="", "Missing" , messy_sales!G95)</f>
        <v>3148.45</v>
      </c>
    </row>
    <row r="96">
      <c r="A96" s="9" t="str">
        <f>messy_sales!A96</f>
        <v>ORD-01095</v>
      </c>
      <c r="B96" s="10">
        <f>IFERROR(DATEVALUE(messy_sales!B96), "Invalid Date")</f>
        <v>45611</v>
      </c>
      <c r="C96" s="9" t="str">
        <f>TRIM(messy_sales!C96)</f>
        <v>Northwind Traders</v>
      </c>
      <c r="D96" s="9" t="str">
        <f>UPPER(TRIM(messy_sales!D96))</f>
        <v>US</v>
      </c>
      <c r="E96" s="9" t="str">
        <f>messy_sales!E96</f>
        <v>North America</v>
      </c>
      <c r="F96" s="9" t="str">
        <f>messy_sales!F96</f>
        <v>Enterprise</v>
      </c>
      <c r="G96" s="8">
        <f>IF(messy_sales!G96="", "Missing" , messy_sales!G96)</f>
        <v>29918.46</v>
      </c>
    </row>
    <row r="97">
      <c r="A97" s="9" t="str">
        <f>messy_sales!A97</f>
        <v>ORD-01096</v>
      </c>
      <c r="B97" s="10">
        <f>IFERROR(DATEVALUE(messy_sales!B97), "Invalid Date")</f>
        <v>45595</v>
      </c>
      <c r="C97" s="9" t="str">
        <f>TRIM(messy_sales!C97)</f>
        <v>Fabrikam Inc</v>
      </c>
      <c r="D97" s="9" t="str">
        <f>UPPER(TRIM(messy_sales!D97))</f>
        <v>US</v>
      </c>
      <c r="E97" s="9" t="str">
        <f>messy_sales!E97</f>
        <v>North America</v>
      </c>
      <c r="F97" s="9" t="str">
        <f>messy_sales!F97</f>
        <v>Mid-Market</v>
      </c>
      <c r="G97" s="8">
        <f>IF(messy_sales!G97="", "Missing" , messy_sales!G97)</f>
        <v>4040.65</v>
      </c>
    </row>
    <row r="98">
      <c r="A98" s="9" t="str">
        <f>messy_sales!A98</f>
        <v>ORD-01097</v>
      </c>
      <c r="B98" s="10">
        <f>IFERROR(DATEVALUE(messy_sales!B98), "Invalid Date")</f>
        <v>45304</v>
      </c>
      <c r="C98" s="9" t="str">
        <f>TRIM(messy_sales!C98)</f>
        <v>Desert Trading LLC</v>
      </c>
      <c r="D98" s="9" t="str">
        <f>UPPER(TRIM(messy_sales!D98))</f>
        <v>AE</v>
      </c>
      <c r="E98" s="9" t="str">
        <f>messy_sales!E98</f>
        <v>EMEA</v>
      </c>
      <c r="F98" s="9" t="str">
        <f>messy_sales!F98</f>
        <v>Mid-Market</v>
      </c>
      <c r="G98" s="8">
        <f>IF(messy_sales!G98="", "Missing" , messy_sales!G98)</f>
        <v>4055.3</v>
      </c>
    </row>
    <row r="99">
      <c r="A99" s="9" t="str">
        <f>messy_sales!A99</f>
        <v>ORD-01098</v>
      </c>
      <c r="B99" s="10">
        <f>IFERROR(DATEVALUE(messy_sales!B99), "Invalid Date")</f>
        <v>45319</v>
      </c>
      <c r="C99" s="9" t="str">
        <f>TRIM(messy_sales!C99)</f>
        <v>Proseware GmbH</v>
      </c>
      <c r="D99" s="9" t="str">
        <f>UPPER(TRIM(messy_sales!D99))</f>
        <v>DE</v>
      </c>
      <c r="E99" s="9" t="str">
        <f>messy_sales!E99</f>
        <v>EMEA</v>
      </c>
      <c r="F99" s="9" t="str">
        <f>messy_sales!F99</f>
        <v>Enterprise</v>
      </c>
      <c r="G99" s="8">
        <f>IF(messy_sales!G99="", "Missing" , messy_sales!G99)</f>
        <v>34045.42</v>
      </c>
    </row>
    <row r="100">
      <c r="A100" s="9" t="str">
        <f>messy_sales!A100</f>
        <v>ORD-01099</v>
      </c>
      <c r="B100" s="10">
        <f>IFERROR(DATEVALUE(messy_sales!B100), "Invalid Date")</f>
        <v>45606</v>
      </c>
      <c r="C100" s="9" t="str">
        <f>TRIM(messy_sales!C100)</f>
        <v>Mumbai Fresh Foods</v>
      </c>
      <c r="D100" s="9" t="str">
        <f>UPPER(TRIM(messy_sales!D100))</f>
        <v>IN</v>
      </c>
      <c r="E100" s="9" t="str">
        <f>messy_sales!E100</f>
        <v>APAC</v>
      </c>
      <c r="F100" s="9" t="str">
        <f>messy_sales!F100</f>
        <v>SMB</v>
      </c>
      <c r="G100" s="8">
        <f>IF(messy_sales!G100="", "Missing" , messy_sales!G100)</f>
        <v>3345.09</v>
      </c>
    </row>
    <row r="101">
      <c r="A101" s="9" t="str">
        <f>messy_sales!A101</f>
        <v>ORD-01100</v>
      </c>
      <c r="B101" s="10">
        <f>IFERROR(DATEVALUE(messy_sales!B101), "Invalid Date")</f>
        <v>45301</v>
      </c>
      <c r="C101" s="9" t="str">
        <f>TRIM(messy_sales!C101)</f>
        <v>Marina Bay Retail</v>
      </c>
      <c r="D101" s="9" t="str">
        <f>UPPER(TRIM(messy_sales!D101))</f>
        <v>SG</v>
      </c>
      <c r="E101" s="9" t="str">
        <f>messy_sales!E101</f>
        <v>APAC</v>
      </c>
      <c r="F101" s="9" t="str">
        <f>messy_sales!F101</f>
        <v>Enterprise</v>
      </c>
      <c r="G101" s="8">
        <f>IF(messy_sales!G101="", "Missing" , messy_sales!G101)</f>
        <v>18298.85</v>
      </c>
    </row>
    <row r="102">
      <c r="A102" s="9" t="str">
        <f>messy_sales!A102</f>
        <v>ORD-01101</v>
      </c>
      <c r="B102" s="10">
        <f>IFERROR(DATEVALUE(messy_sales!B102), "Invalid Date")</f>
        <v>45494</v>
      </c>
      <c r="C102" s="9" t="str">
        <f>TRIM(messy_sales!C102)</f>
        <v>Delhi Textiles</v>
      </c>
      <c r="D102" s="9" t="str">
        <f>UPPER(TRIM(messy_sales!D102))</f>
        <v>IN</v>
      </c>
      <c r="E102" s="9" t="str">
        <f>messy_sales!E102</f>
        <v>APAC</v>
      </c>
      <c r="F102" s="9" t="str">
        <f>messy_sales!F102</f>
        <v>SMB</v>
      </c>
      <c r="G102" s="8">
        <f>IF(messy_sales!G102="", "Missing" , messy_sales!G102)</f>
        <v>2755.54</v>
      </c>
    </row>
    <row r="103">
      <c r="A103" s="9" t="str">
        <f>messy_sales!A103</f>
        <v>ORD-01102</v>
      </c>
      <c r="B103" s="10">
        <f>IFERROR(DATEVALUE(messy_sales!B103), "Invalid Date")</f>
        <v>45720</v>
      </c>
      <c r="C103" s="9" t="str">
        <f>TRIM(messy_sales!C103)</f>
        <v>Great Barrier Retail</v>
      </c>
      <c r="D103" s="9" t="str">
        <f>UPPER(TRIM(messy_sales!D103))</f>
        <v>AU</v>
      </c>
      <c r="E103" s="9" t="str">
        <f>messy_sales!E103</f>
        <v>APAC</v>
      </c>
      <c r="F103" s="9" t="str">
        <f>messy_sales!F103</f>
        <v>SMB</v>
      </c>
      <c r="G103" s="8">
        <f>IF(messy_sales!G103="", "Missing" , messy_sales!G103)</f>
        <v>572.69</v>
      </c>
    </row>
    <row r="104">
      <c r="A104" s="9" t="str">
        <f>messy_sales!A104</f>
        <v>ORD-01103</v>
      </c>
      <c r="B104" s="10">
        <f>IFERROR(DATEVALUE(messy_sales!B104), "Invalid Date")</f>
        <v>45832</v>
      </c>
      <c r="C104" s="9" t="str">
        <f>TRIM(messy_sales!C104)</f>
        <v>Marina Bay Retail</v>
      </c>
      <c r="D104" s="9" t="str">
        <f>UPPER(TRIM(messy_sales!D104))</f>
        <v>SG</v>
      </c>
      <c r="E104" s="9" t="str">
        <f>messy_sales!E104</f>
        <v>APAC</v>
      </c>
      <c r="F104" s="9" t="str">
        <f>messy_sales!F104</f>
        <v>Enterprise</v>
      </c>
      <c r="G104" s="8">
        <f>IF(messy_sales!G104="", "Missing" , messy_sales!G104)</f>
        <v>41379</v>
      </c>
    </row>
    <row r="105">
      <c r="A105" s="9" t="str">
        <f>messy_sales!A105</f>
        <v>ORD-01104</v>
      </c>
      <c r="B105" s="10">
        <f>IFERROR(DATEVALUE(messy_sales!B105), "Invalid Date")</f>
        <v>45421</v>
      </c>
      <c r="C105" s="9" t="str">
        <f>TRIM(messy_sales!C105)</f>
        <v>Hanseatic Imports</v>
      </c>
      <c r="D105" s="9" t="str">
        <f>UPPER(TRIM(messy_sales!D105))</f>
        <v>DE</v>
      </c>
      <c r="E105" s="9" t="str">
        <f>messy_sales!E105</f>
        <v>EMEA</v>
      </c>
      <c r="F105" s="9" t="str">
        <f>messy_sales!F105</f>
        <v>SMB</v>
      </c>
      <c r="G105" s="8">
        <f>IF(messy_sales!G105="", "Missing" , messy_sales!G105)</f>
        <v>2459.81</v>
      </c>
    </row>
    <row r="106">
      <c r="A106" s="9" t="str">
        <f>messy_sales!A106</f>
        <v>ORD-01105</v>
      </c>
      <c r="B106" s="10">
        <f>IFERROR(DATEVALUE(messy_sales!B106), "Invalid Date")</f>
        <v>45703</v>
      </c>
      <c r="C106" s="9" t="str">
        <f>TRIM(messy_sales!C106)</f>
        <v>Bengaluru Softworks</v>
      </c>
      <c r="D106" s="9" t="str">
        <f>UPPER(TRIM(messy_sales!D106))</f>
        <v>IN</v>
      </c>
      <c r="E106" s="9" t="str">
        <f>messy_sales!E106</f>
        <v>APAC</v>
      </c>
      <c r="F106" s="9" t="str">
        <f>messy_sales!F106</f>
        <v>Mid-Market</v>
      </c>
      <c r="G106" s="8">
        <f>IF(messy_sales!G106="", "Missing" , messy_sales!G106)</f>
        <v>3268.38</v>
      </c>
    </row>
    <row r="107">
      <c r="A107" s="9" t="str">
        <f>messy_sales!A107</f>
        <v>ORD-01106</v>
      </c>
      <c r="B107" s="10">
        <f>IFERROR(DATEVALUE(messy_sales!B107), "Invalid Date")</f>
        <v>45609</v>
      </c>
      <c r="C107" s="9" t="str">
        <f>TRIM(messy_sales!C107)</f>
        <v>Outback Supplies</v>
      </c>
      <c r="D107" s="9" t="str">
        <f>UPPER(TRIM(messy_sales!D107))</f>
        <v>AU</v>
      </c>
      <c r="E107" s="9" t="str">
        <f>messy_sales!E107</f>
        <v>APAC</v>
      </c>
      <c r="F107" s="9" t="str">
        <f>messy_sales!F107</f>
        <v>Mid-Market</v>
      </c>
      <c r="G107" s="8">
        <f>IF(messy_sales!G107="", "Missing" , messy_sales!G107)</f>
        <v>6426.73</v>
      </c>
    </row>
    <row r="108">
      <c r="A108" s="9" t="str">
        <f>messy_sales!A108</f>
        <v>ORD-01107</v>
      </c>
      <c r="B108" s="10">
        <f>IFERROR(DATEVALUE(messy_sales!B108), "Invalid Date")</f>
        <v>45534</v>
      </c>
      <c r="C108" s="9" t="str">
        <f>TRIM(messy_sales!C108)</f>
        <v>Great Barrier Retail</v>
      </c>
      <c r="D108" s="9" t="str">
        <f>UPPER(TRIM(messy_sales!D108))</f>
        <v>AU</v>
      </c>
      <c r="E108" s="9" t="str">
        <f>messy_sales!E108</f>
        <v>APAC</v>
      </c>
      <c r="F108" s="9" t="str">
        <f>messy_sales!F108</f>
        <v>SMB</v>
      </c>
      <c r="G108" s="8">
        <f>IF(messy_sales!G108="", "Missing" , messy_sales!G108)</f>
        <v>1149.7</v>
      </c>
    </row>
    <row r="109">
      <c r="A109" s="9" t="str">
        <f>messy_sales!A109</f>
        <v>ORD-01108</v>
      </c>
      <c r="B109" s="10">
        <f>IFERROR(DATEVALUE(messy_sales!B109), "Invalid Date")</f>
        <v>45529</v>
      </c>
      <c r="C109" s="9" t="str">
        <f>TRIM(messy_sales!C109)</f>
        <v>Great Barrier Retail</v>
      </c>
      <c r="D109" s="9" t="str">
        <f>UPPER(TRIM(messy_sales!D109))</f>
        <v>AU</v>
      </c>
      <c r="E109" s="9" t="str">
        <f>messy_sales!E109</f>
        <v>APAC</v>
      </c>
      <c r="F109" s="9" t="str">
        <f>messy_sales!F109</f>
        <v>SMB</v>
      </c>
      <c r="G109" s="8">
        <f>IF(messy_sales!G109="", "Missing" , messy_sales!G109)</f>
        <v>1463.37</v>
      </c>
    </row>
    <row r="110">
      <c r="A110" s="9" t="str">
        <f>messy_sales!A110</f>
        <v>ORD-01109</v>
      </c>
      <c r="B110" s="10">
        <f>IFERROR(DATEVALUE(messy_sales!B110), "Invalid Date")</f>
        <v>45751</v>
      </c>
      <c r="C110" s="9" t="str">
        <f>TRIM(messy_sales!C110)</f>
        <v>Lion City Traders</v>
      </c>
      <c r="D110" s="9" t="str">
        <f>UPPER(TRIM(messy_sales!D110))</f>
        <v>SG</v>
      </c>
      <c r="E110" s="9" t="str">
        <f>messy_sales!E110</f>
        <v>APAC</v>
      </c>
      <c r="F110" s="9" t="str">
        <f>messy_sales!F110</f>
        <v>Mid-Market</v>
      </c>
      <c r="G110" s="8">
        <f>IF(messy_sales!G110="", "Missing" , messy_sales!G110)</f>
        <v>10749.74</v>
      </c>
    </row>
    <row r="111">
      <c r="A111" s="9" t="str">
        <f>messy_sales!A111</f>
        <v>ORD-01110</v>
      </c>
      <c r="B111" s="10">
        <f>IFERROR(DATEVALUE(messy_sales!B111), "Invalid Date")</f>
        <v>45531</v>
      </c>
      <c r="C111" s="9" t="str">
        <f>TRIM(messy_sales!C111)</f>
        <v>Proseware GmbH</v>
      </c>
      <c r="D111" s="9" t="str">
        <f>UPPER(TRIM(messy_sales!D111))</f>
        <v>DE</v>
      </c>
      <c r="E111" s="9" t="str">
        <f>messy_sales!E111</f>
        <v>EMEA</v>
      </c>
      <c r="F111" s="9" t="str">
        <f>messy_sales!F111</f>
        <v>Enterprise</v>
      </c>
      <c r="G111" s="8">
        <f>IF(messy_sales!G111="", "Missing" , messy_sales!G111)</f>
        <v>15488.21</v>
      </c>
    </row>
    <row r="112">
      <c r="A112" s="9" t="str">
        <f>messy_sales!A112</f>
        <v>ORD-01111</v>
      </c>
      <c r="B112" s="10">
        <f>IFERROR(DATEVALUE(messy_sales!B112), "Invalid Date")</f>
        <v>45428</v>
      </c>
      <c r="C112" s="9" t="str">
        <f>TRIM(messy_sales!C112)</f>
        <v>Thames Valley Foods</v>
      </c>
      <c r="D112" s="9" t="str">
        <f>UPPER(TRIM(messy_sales!D112))</f>
        <v>GB</v>
      </c>
      <c r="E112" s="9" t="str">
        <f>messy_sales!E112</f>
        <v>EMEA</v>
      </c>
      <c r="F112" s="9" t="str">
        <f>messy_sales!F112</f>
        <v>Mid-Market</v>
      </c>
      <c r="G112" s="8">
        <f>IF(messy_sales!G112="", "Missing" , messy_sales!G112)</f>
        <v>9496.11</v>
      </c>
    </row>
    <row r="113">
      <c r="A113" s="9" t="str">
        <f>messy_sales!A113</f>
        <v>ORD-01112</v>
      </c>
      <c r="B113" s="10">
        <f>IFERROR(DATEVALUE(messy_sales!B113), "Invalid Date")</f>
        <v>45656</v>
      </c>
      <c r="C113" s="9" t="str">
        <f>TRIM(messy_sales!C113)</f>
        <v>Lion City Traders</v>
      </c>
      <c r="D113" s="9" t="str">
        <f>UPPER(TRIM(messy_sales!D113))</f>
        <v>SG</v>
      </c>
      <c r="E113" s="9" t="str">
        <f>messy_sales!E113</f>
        <v>APAC</v>
      </c>
      <c r="F113" s="9" t="str">
        <f>messy_sales!F113</f>
        <v>Mid-Market</v>
      </c>
      <c r="G113" s="8">
        <f>IF(messy_sales!G113="", "Missing" , messy_sales!G113)</f>
        <v>6048.36</v>
      </c>
    </row>
    <row r="114">
      <c r="A114" s="9" t="str">
        <f>messy_sales!A114</f>
        <v>ORD-01113</v>
      </c>
      <c r="B114" s="10">
        <f>IFERROR(DATEVALUE(messy_sales!B114), "Invalid Date")</f>
        <v>45476</v>
      </c>
      <c r="C114" s="9" t="str">
        <f>TRIM(messy_sales!C114)</f>
        <v>Nordwind Energie</v>
      </c>
      <c r="D114" s="9" t="str">
        <f>UPPER(TRIM(messy_sales!D114))</f>
        <v>DE</v>
      </c>
      <c r="E114" s="9" t="str">
        <f>messy_sales!E114</f>
        <v>EMEA</v>
      </c>
      <c r="F114" s="9" t="str">
        <f>messy_sales!F114</f>
        <v>Mid-Market</v>
      </c>
      <c r="G114" s="8">
        <f>IF(messy_sales!G114="", "Missing" , messy_sales!G114)</f>
        <v>3522.01</v>
      </c>
    </row>
    <row r="115">
      <c r="A115" s="9" t="str">
        <f>messy_sales!A115</f>
        <v>ORD-01114</v>
      </c>
      <c r="B115" s="10">
        <f>IFERROR(DATEVALUE(messy_sales!B115), "Invalid Date")</f>
        <v>45528</v>
      </c>
      <c r="C115" s="9" t="str">
        <f>TRIM(messy_sales!C115)</f>
        <v>Northwind Traders</v>
      </c>
      <c r="D115" s="9" t="str">
        <f>UPPER(TRIM(messy_sales!D115))</f>
        <v>US</v>
      </c>
      <c r="E115" s="9" t="str">
        <f>messy_sales!E115</f>
        <v>North America</v>
      </c>
      <c r="F115" s="9" t="str">
        <f>messy_sales!F115</f>
        <v>Enterprise</v>
      </c>
      <c r="G115" s="8">
        <f>IF(messy_sales!G115="", "Missing" , messy_sales!G115)</f>
        <v>22960.37</v>
      </c>
    </row>
    <row r="116">
      <c r="A116" s="9" t="str">
        <f>messy_sales!A116</f>
        <v>ORD-01115</v>
      </c>
      <c r="B116" s="10">
        <f>IFERROR(DATEVALUE(messy_sales!B116), "Invalid Date")</f>
        <v>45487</v>
      </c>
      <c r="C116" s="9" t="str">
        <f>TRIM(messy_sales!C116)</f>
        <v>Nordwind Energie</v>
      </c>
      <c r="D116" s="9" t="str">
        <f>UPPER(TRIM(messy_sales!D116))</f>
        <v>DE</v>
      </c>
      <c r="E116" s="9" t="str">
        <f>messy_sales!E116</f>
        <v>EMEA</v>
      </c>
      <c r="F116" s="9" t="str">
        <f>messy_sales!F116</f>
        <v>Mid-Market</v>
      </c>
      <c r="G116" s="8">
        <f>IF(messy_sales!G116="", "Missing" , messy_sales!G116)</f>
        <v>9274.81</v>
      </c>
    </row>
    <row r="117">
      <c r="A117" s="9" t="str">
        <f>messy_sales!A117</f>
        <v>ORD-01116</v>
      </c>
      <c r="B117" s="10">
        <f>IFERROR(DATEVALUE(messy_sales!B117), "Invalid Date")</f>
        <v>45629</v>
      </c>
      <c r="C117" s="9" t="str">
        <f>TRIM(messy_sales!C117)</f>
        <v>Delhi Textiles</v>
      </c>
      <c r="D117" s="9" t="str">
        <f>UPPER(TRIM(messy_sales!D117))</f>
        <v>IN</v>
      </c>
      <c r="E117" s="9" t="str">
        <f>messy_sales!E117</f>
        <v>APAC</v>
      </c>
      <c r="F117" s="9" t="str">
        <f>messy_sales!F117</f>
        <v>SMB</v>
      </c>
      <c r="G117" s="8">
        <f>IF(messy_sales!G117="", "Missing" , messy_sales!G117)</f>
        <v>3311.66</v>
      </c>
    </row>
    <row r="118">
      <c r="A118" s="9" t="str">
        <f>messy_sales!A118</f>
        <v>ORD-01117</v>
      </c>
      <c r="B118" s="10">
        <f>IFERROR(DATEVALUE(messy_sales!B118), "Invalid Date")</f>
        <v>45751</v>
      </c>
      <c r="C118" s="9" t="str">
        <f>TRIM(messy_sales!C118)</f>
        <v>Emirates Retail Group</v>
      </c>
      <c r="D118" s="9" t="str">
        <f>UPPER(TRIM(messy_sales!D118))</f>
        <v>AE</v>
      </c>
      <c r="E118" s="9" t="str">
        <f>messy_sales!E118</f>
        <v>EMEA</v>
      </c>
      <c r="F118" s="9" t="str">
        <f>messy_sales!F118</f>
        <v>Enterprise</v>
      </c>
      <c r="G118" s="8">
        <f>IF(messy_sales!G118="", "Missing" , messy_sales!G118)</f>
        <v>9404.92</v>
      </c>
    </row>
    <row r="119">
      <c r="A119" s="9" t="str">
        <f>messy_sales!A119</f>
        <v>ORD-01118</v>
      </c>
      <c r="B119" s="10">
        <f>IFERROR(DATEVALUE(messy_sales!B119), "Invalid Date")</f>
        <v>45630</v>
      </c>
      <c r="C119" s="9" t="str">
        <f>TRIM(messy_sales!C119)</f>
        <v>Tailspin Toys</v>
      </c>
      <c r="D119" s="9" t="str">
        <f>UPPER(TRIM(messy_sales!D119))</f>
        <v>CA</v>
      </c>
      <c r="E119" s="9" t="str">
        <f>messy_sales!E119</f>
        <v>North America</v>
      </c>
      <c r="F119" s="9" t="str">
        <f>messy_sales!F119</f>
        <v>SMB</v>
      </c>
      <c r="G119" s="8">
        <f>IF(messy_sales!G119="", "Missing" , messy_sales!G119)</f>
        <v>2278.03</v>
      </c>
    </row>
    <row r="120">
      <c r="A120" s="9" t="str">
        <f>messy_sales!A120</f>
        <v>ORD-01119</v>
      </c>
      <c r="B120" s="10">
        <f>IFERROR(DATEVALUE(messy_sales!B120), "Invalid Date")</f>
        <v>45637</v>
      </c>
      <c r="C120" s="9" t="str">
        <f>TRIM(messy_sales!C120)</f>
        <v>Mumbai Fresh Foods</v>
      </c>
      <c r="D120" s="9" t="str">
        <f>UPPER(TRIM(messy_sales!D120))</f>
        <v>IN</v>
      </c>
      <c r="E120" s="9" t="str">
        <f>messy_sales!E120</f>
        <v>APAC</v>
      </c>
      <c r="F120" s="9" t="str">
        <f>messy_sales!F120</f>
        <v>SMB</v>
      </c>
      <c r="G120" s="8">
        <f>IF(messy_sales!G120="", "Missing" , messy_sales!G120)</f>
        <v>1104.47</v>
      </c>
    </row>
    <row r="121">
      <c r="A121" s="9" t="str">
        <f>messy_sales!A121</f>
        <v>ORD-01120</v>
      </c>
      <c r="B121" s="10">
        <f>IFERROR(DATEVALUE(messy_sales!B121), "Invalid Date")</f>
        <v>45687</v>
      </c>
      <c r="C121" s="9" t="str">
        <f>TRIM(messy_sales!C121)</f>
        <v>Lion City Traders</v>
      </c>
      <c r="D121" s="9" t="str">
        <f>UPPER(TRIM(messy_sales!D121))</f>
        <v>SG</v>
      </c>
      <c r="E121" s="9" t="str">
        <f>messy_sales!E121</f>
        <v>APAC</v>
      </c>
      <c r="F121" s="9" t="str">
        <f>messy_sales!F121</f>
        <v>Mid-Market</v>
      </c>
      <c r="G121" s="8">
        <f>IF(messy_sales!G121="", "Missing" , messy_sales!G121)</f>
        <v>8975.98</v>
      </c>
    </row>
    <row r="122">
      <c r="A122" s="9" t="str">
        <f>messy_sales!A122</f>
        <v>ORD-01121</v>
      </c>
      <c r="B122" s="10">
        <f>IFERROR(DATEVALUE(messy_sales!B122), "Invalid Date")</f>
        <v>45533</v>
      </c>
      <c r="C122" s="9" t="str">
        <f>TRIM(messy_sales!C122)</f>
        <v>Adventure Works</v>
      </c>
      <c r="D122" s="9" t="str">
        <f>UPPER(TRIM(messy_sales!D122))</f>
        <v>CA</v>
      </c>
      <c r="E122" s="9" t="str">
        <f>messy_sales!E122</f>
        <v>North America</v>
      </c>
      <c r="F122" s="9" t="str">
        <f>messy_sales!F122</f>
        <v>Mid-Market</v>
      </c>
      <c r="G122" s="8">
        <f>IF(messy_sales!G122="", "Missing" , messy_sales!G122)</f>
        <v>7515.3</v>
      </c>
    </row>
    <row r="123">
      <c r="A123" s="9" t="str">
        <f>messy_sales!A123</f>
        <v>ORD-01122</v>
      </c>
      <c r="B123" s="10">
        <f>IFERROR(DATEVALUE(messy_sales!B123), "Invalid Date")</f>
        <v>45327</v>
      </c>
      <c r="C123" s="9" t="str">
        <f>TRIM(messy_sales!C123)</f>
        <v>Bengaluru Softworks</v>
      </c>
      <c r="D123" s="9" t="str">
        <f>UPPER(TRIM(messy_sales!D123))</f>
        <v>IN</v>
      </c>
      <c r="E123" s="9" t="str">
        <f>messy_sales!E123</f>
        <v>APAC</v>
      </c>
      <c r="F123" s="9" t="str">
        <f>messy_sales!F123</f>
        <v>Mid-Market</v>
      </c>
      <c r="G123" s="8">
        <f>IF(messy_sales!G123="", "Missing" , messy_sales!G123)</f>
        <v>9252.39</v>
      </c>
    </row>
    <row r="124">
      <c r="A124" s="9" t="str">
        <f>messy_sales!A124</f>
        <v>ORD-01123</v>
      </c>
      <c r="B124" s="10">
        <f>IFERROR(DATEVALUE(messy_sales!B124), "Invalid Date")</f>
        <v>45353</v>
      </c>
      <c r="C124" s="9" t="str">
        <f>TRIM(messy_sales!C124)</f>
        <v>Litware Systems</v>
      </c>
      <c r="D124" s="9" t="str">
        <f>UPPER(TRIM(messy_sales!D124))</f>
        <v>GB</v>
      </c>
      <c r="E124" s="9" t="str">
        <f>messy_sales!E124</f>
        <v>EMEA</v>
      </c>
      <c r="F124" s="9" t="str">
        <f>messy_sales!F124</f>
        <v>Enterprise</v>
      </c>
      <c r="G124" s="8">
        <f>IF(messy_sales!G124="", "Missing" , messy_sales!G124)</f>
        <v>38227.45</v>
      </c>
    </row>
    <row r="125">
      <c r="A125" s="9" t="str">
        <f>messy_sales!A125</f>
        <v>ORD-01124</v>
      </c>
      <c r="B125" s="10">
        <f>IFERROR(DATEVALUE(messy_sales!B125), "Invalid Date")</f>
        <v>45533</v>
      </c>
      <c r="C125" s="9" t="str">
        <f>TRIM(messy_sales!C125)</f>
        <v>Wide World Importers</v>
      </c>
      <c r="D125" s="9" t="str">
        <f>UPPER(TRIM(messy_sales!D125))</f>
        <v>GB</v>
      </c>
      <c r="E125" s="9" t="str">
        <f>messy_sales!E125</f>
        <v>EMEA</v>
      </c>
      <c r="F125" s="9" t="str">
        <f>messy_sales!F125</f>
        <v>Mid-Market</v>
      </c>
      <c r="G125" s="8">
        <f>IF(messy_sales!G125="", "Missing" , messy_sales!G125)</f>
        <v>7904.6</v>
      </c>
    </row>
    <row r="126">
      <c r="A126" s="9" t="str">
        <f>messy_sales!A126</f>
        <v>ORD-01125</v>
      </c>
      <c r="B126" s="10">
        <f>IFERROR(DATEVALUE(messy_sales!B126), "Invalid Date")</f>
        <v>45410</v>
      </c>
      <c r="C126" s="9" t="str">
        <f>TRIM(messy_sales!C126)</f>
        <v>Coho Vineyard</v>
      </c>
      <c r="D126" s="9" t="str">
        <f>UPPER(TRIM(messy_sales!D126))</f>
        <v>US</v>
      </c>
      <c r="E126" s="9" t="str">
        <f>messy_sales!E126</f>
        <v>North America</v>
      </c>
      <c r="F126" s="9" t="str">
        <f>messy_sales!F126</f>
        <v>SMB</v>
      </c>
      <c r="G126" s="8">
        <f>IF(messy_sales!G126="", "Missing" , messy_sales!G126)</f>
        <v>755.97</v>
      </c>
    </row>
    <row r="127">
      <c r="A127" s="9" t="str">
        <f>messy_sales!A127</f>
        <v>ORD-01126</v>
      </c>
      <c r="B127" s="10" t="str">
        <f>IFERROR(DATEVALUE(messy_sales!B127), "Invalid Date")</f>
        <v>Invalid Date</v>
      </c>
      <c r="C127" s="9" t="str">
        <f>TRIM(messy_sales!C127)</f>
        <v>Emirates Retail Group</v>
      </c>
      <c r="D127" s="9" t="str">
        <f>UPPER(TRIM(messy_sales!D127))</f>
        <v>AE</v>
      </c>
      <c r="E127" s="9" t="str">
        <f>messy_sales!E127</f>
        <v>EMEA</v>
      </c>
      <c r="F127" s="9" t="str">
        <f>messy_sales!F127</f>
        <v>Enterprise</v>
      </c>
      <c r="G127" s="8">
        <f>IF(messy_sales!G127="", "Missing" , messy_sales!G127)</f>
        <v>40290.64</v>
      </c>
    </row>
    <row r="128">
      <c r="A128" s="9" t="str">
        <f>messy_sales!A128</f>
        <v>ORD-01127</v>
      </c>
      <c r="B128" s="10">
        <f>IFERROR(DATEVALUE(messy_sales!B128), "Invalid Date")</f>
        <v>45346</v>
      </c>
      <c r="C128" s="9" t="str">
        <f>TRIM(messy_sales!C128)</f>
        <v>Desert Trading LLC</v>
      </c>
      <c r="D128" s="9" t="str">
        <f>UPPER(TRIM(messy_sales!D128))</f>
        <v>AE</v>
      </c>
      <c r="E128" s="9" t="str">
        <f>messy_sales!E128</f>
        <v>EMEA</v>
      </c>
      <c r="F128" s="9" t="str">
        <f>messy_sales!F128</f>
        <v>Mid-Market</v>
      </c>
      <c r="G128" s="8">
        <f>IF(messy_sales!G128="", "Missing" , messy_sales!G128)</f>
        <v>11065.37</v>
      </c>
    </row>
    <row r="129">
      <c r="A129" s="9" t="str">
        <f>messy_sales!A129</f>
        <v>ORD-01128</v>
      </c>
      <c r="B129" s="10">
        <f>IFERROR(DATEVALUE(messy_sales!B129), "Invalid Date")</f>
        <v>45641</v>
      </c>
      <c r="C129" s="9" t="str">
        <f>TRIM(messy_sales!C129)</f>
        <v>Fabrikam Inc</v>
      </c>
      <c r="D129" s="9" t="str">
        <f>UPPER(TRIM(messy_sales!D129))</f>
        <v>US</v>
      </c>
      <c r="E129" s="9" t="str">
        <f>messy_sales!E129</f>
        <v>North America</v>
      </c>
      <c r="F129" s="9" t="str">
        <f>messy_sales!F129</f>
        <v>Mid-Market</v>
      </c>
      <c r="G129" s="8">
        <f>IF(messy_sales!G129="", "Missing" , messy_sales!G129)</f>
        <v>3880.4</v>
      </c>
    </row>
    <row r="130">
      <c r="A130" s="9" t="str">
        <f>messy_sales!A130</f>
        <v>ORD-01129</v>
      </c>
      <c r="B130" s="10">
        <f>IFERROR(DATEVALUE(messy_sales!B130), "Invalid Date")</f>
        <v>45701</v>
      </c>
      <c r="C130" s="9" t="str">
        <f>TRIM(messy_sales!C130)</f>
        <v>Outback Supplies</v>
      </c>
      <c r="D130" s="9" t="str">
        <f>UPPER(TRIM(messy_sales!D130))</f>
        <v>AU</v>
      </c>
      <c r="E130" s="9" t="str">
        <f>messy_sales!E130</f>
        <v>APAC</v>
      </c>
      <c r="F130" s="9" t="str">
        <f>messy_sales!F130</f>
        <v>Mid-Market</v>
      </c>
      <c r="G130" s="8">
        <f>IF(messy_sales!G130="", "Missing" , messy_sales!G130)</f>
        <v>3023.99</v>
      </c>
    </row>
    <row r="131">
      <c r="A131" s="9" t="str">
        <f>messy_sales!A131</f>
        <v>ORD-01130</v>
      </c>
      <c r="B131" s="10">
        <f>IFERROR(DATEVALUE(messy_sales!B131), "Invalid Date")</f>
        <v>45767</v>
      </c>
      <c r="C131" s="9" t="str">
        <f>TRIM(messy_sales!C131)</f>
        <v>Pacific Northwest Co</v>
      </c>
      <c r="D131" s="9" t="str">
        <f>UPPER(TRIM(messy_sales!D131))</f>
        <v>US</v>
      </c>
      <c r="E131" s="9" t="str">
        <f>messy_sales!E131</f>
        <v>North America</v>
      </c>
      <c r="F131" s="9" t="str">
        <f>messy_sales!F131</f>
        <v>Mid-Market</v>
      </c>
      <c r="G131" s="8">
        <f>IF(messy_sales!G131="", "Missing" , messy_sales!G131)</f>
        <v>7297.19</v>
      </c>
    </row>
    <row r="132">
      <c r="A132" s="9" t="str">
        <f>messy_sales!A132</f>
        <v>ORD-01131</v>
      </c>
      <c r="B132" s="10">
        <f>IFERROR(DATEVALUE(messy_sales!B132), "Invalid Date")</f>
        <v>45373</v>
      </c>
      <c r="C132" s="9" t="str">
        <f>TRIM(messy_sales!C132)</f>
        <v>Tata Consultancy Retail</v>
      </c>
      <c r="D132" s="9" t="str">
        <f>UPPER(TRIM(messy_sales!D132))</f>
        <v>IN</v>
      </c>
      <c r="E132" s="9" t="str">
        <f>messy_sales!E132</f>
        <v>APAC</v>
      </c>
      <c r="F132" s="9" t="str">
        <f>messy_sales!F132</f>
        <v>Enterprise</v>
      </c>
      <c r="G132" s="8">
        <f>IF(messy_sales!G132="", "Missing" , messy_sales!G132)</f>
        <v>33414.13</v>
      </c>
    </row>
    <row r="133">
      <c r="A133" s="9" t="str">
        <f>messy_sales!A133</f>
        <v>ORD-01132</v>
      </c>
      <c r="B133" s="10">
        <f>IFERROR(DATEVALUE(messy_sales!B133), "Invalid Date")</f>
        <v>45644</v>
      </c>
      <c r="C133" s="9" t="str">
        <f>TRIM(messy_sales!C133)</f>
        <v>Maple Leaf Distributors</v>
      </c>
      <c r="D133" s="9" t="str">
        <f>UPPER(TRIM(messy_sales!D133))</f>
        <v>CA</v>
      </c>
      <c r="E133" s="9" t="str">
        <f>messy_sales!E133</f>
        <v>North America</v>
      </c>
      <c r="F133" s="9" t="str">
        <f>messy_sales!F133</f>
        <v>Enterprise</v>
      </c>
      <c r="G133" s="8">
        <f>IF(messy_sales!G133="", "Missing" , messy_sales!G133)</f>
        <v>38593.61</v>
      </c>
    </row>
    <row r="134">
      <c r="A134" s="9" t="str">
        <f>messy_sales!A134</f>
        <v>ORD-01133</v>
      </c>
      <c r="B134" s="10">
        <f>IFERROR(DATEVALUE(messy_sales!B134), "Invalid Date")</f>
        <v>45329</v>
      </c>
      <c r="C134" s="9" t="str">
        <f>TRIM(messy_sales!C134)</f>
        <v>Tailspin Toys</v>
      </c>
      <c r="D134" s="9" t="str">
        <f>UPPER(TRIM(messy_sales!D134))</f>
        <v>CA</v>
      </c>
      <c r="E134" s="9" t="str">
        <f>messy_sales!E134</f>
        <v>North America</v>
      </c>
      <c r="F134" s="9" t="str">
        <f>messy_sales!F134</f>
        <v>SMB</v>
      </c>
      <c r="G134" s="8">
        <f>IF(messy_sales!G134="", "Missing" , messy_sales!G134)</f>
        <v>1151.91</v>
      </c>
    </row>
    <row r="135">
      <c r="A135" s="9" t="str">
        <f>messy_sales!A135</f>
        <v>ORD-01134</v>
      </c>
      <c r="B135" s="10">
        <f>IFERROR(DATEVALUE(messy_sales!B135), "Invalid Date")</f>
        <v>45760</v>
      </c>
      <c r="C135" s="9" t="str">
        <f>TRIM(messy_sales!C135)</f>
        <v>Wingtip Retail</v>
      </c>
      <c r="D135" s="9" t="str">
        <f>UPPER(TRIM(messy_sales!D135))</f>
        <v>US</v>
      </c>
      <c r="E135" s="9" t="str">
        <f>messy_sales!E135</f>
        <v>North America</v>
      </c>
      <c r="F135" s="9" t="str">
        <f>messy_sales!F135</f>
        <v>SMB</v>
      </c>
      <c r="G135" s="8">
        <f>IF(messy_sales!G135="", "Missing" , messy_sales!G135)</f>
        <v>580.03</v>
      </c>
    </row>
    <row r="136">
      <c r="A136" s="9" t="str">
        <f>messy_sales!A136</f>
        <v>ORD-01135</v>
      </c>
      <c r="B136" s="10">
        <f>IFERROR(DATEVALUE(messy_sales!B136), "Invalid Date")</f>
        <v>45785</v>
      </c>
      <c r="C136" s="9" t="str">
        <f>TRIM(messy_sales!C136)</f>
        <v>Tailspin Toys</v>
      </c>
      <c r="D136" s="9" t="str">
        <f>UPPER(TRIM(messy_sales!D136))</f>
        <v>CA</v>
      </c>
      <c r="E136" s="9" t="str">
        <f>messy_sales!E136</f>
        <v>North America</v>
      </c>
      <c r="F136" s="9" t="str">
        <f>messy_sales!F136</f>
        <v>SMB</v>
      </c>
      <c r="G136" s="8">
        <f>IF(messy_sales!G136="", "Missing" , messy_sales!G136)</f>
        <v>2874.13</v>
      </c>
    </row>
    <row r="137">
      <c r="A137" s="9" t="str">
        <f>messy_sales!A137</f>
        <v>ORD-01136</v>
      </c>
      <c r="B137" s="10">
        <f>IFERROR(DATEVALUE(messy_sales!B137), "Invalid Date")</f>
        <v>45629</v>
      </c>
      <c r="C137" s="9" t="str">
        <f>TRIM(messy_sales!C137)</f>
        <v>Nordwind Energie</v>
      </c>
      <c r="D137" s="9" t="str">
        <f>UPPER(TRIM(messy_sales!D137))</f>
        <v>DE</v>
      </c>
      <c r="E137" s="9" t="str">
        <f>messy_sales!E137</f>
        <v>EMEA</v>
      </c>
      <c r="F137" s="9" t="str">
        <f>messy_sales!F137</f>
        <v>Mid-Market</v>
      </c>
      <c r="G137" s="8">
        <f>IF(messy_sales!G137="", "Missing" , messy_sales!G137)</f>
        <v>7614.9</v>
      </c>
    </row>
    <row r="138">
      <c r="A138" s="9" t="str">
        <f>messy_sales!A138</f>
        <v>ORD-01137</v>
      </c>
      <c r="B138" s="10">
        <f>IFERROR(DATEVALUE(messy_sales!B138), "Invalid Date")</f>
        <v>45530</v>
      </c>
      <c r="C138" s="9" t="str">
        <f>TRIM(messy_sales!C138)</f>
        <v>Maple Leaf Distributors</v>
      </c>
      <c r="D138" s="9" t="str">
        <f>UPPER(TRIM(messy_sales!D138))</f>
        <v>CA</v>
      </c>
      <c r="E138" s="9" t="str">
        <f>messy_sales!E138</f>
        <v>North America</v>
      </c>
      <c r="F138" s="9" t="str">
        <f>messy_sales!F138</f>
        <v>Enterprise</v>
      </c>
      <c r="G138" s="8">
        <f>IF(messy_sales!G138="", "Missing" , messy_sales!G138)</f>
        <v>37798.85</v>
      </c>
    </row>
    <row r="139">
      <c r="A139" s="9" t="str">
        <f>messy_sales!A139</f>
        <v>ORD-01138</v>
      </c>
      <c r="B139" s="10">
        <f>IFERROR(DATEVALUE(messy_sales!B139), "Invalid Date")</f>
        <v>45365</v>
      </c>
      <c r="C139" s="9" t="str">
        <f>TRIM(messy_sales!C139)</f>
        <v>Pacific Northwest Co</v>
      </c>
      <c r="D139" s="9" t="str">
        <f>UPPER(TRIM(messy_sales!D139))</f>
        <v>US</v>
      </c>
      <c r="E139" s="9" t="str">
        <f>messy_sales!E139</f>
        <v>North America</v>
      </c>
      <c r="F139" s="9" t="str">
        <f>messy_sales!F139</f>
        <v>Mid-Market</v>
      </c>
      <c r="G139" s="8">
        <f>IF(messy_sales!G139="", "Missing" , messy_sales!G139)</f>
        <v>9320.95</v>
      </c>
    </row>
    <row r="140">
      <c r="A140" s="9" t="str">
        <f>messy_sales!A140</f>
        <v>ORD-01139</v>
      </c>
      <c r="B140" s="10">
        <f>IFERROR(DATEVALUE(messy_sales!B140), "Invalid Date")</f>
        <v>45464</v>
      </c>
      <c r="C140" s="9" t="str">
        <f>TRIM(messy_sales!C140)</f>
        <v>Bengaluru Softworks</v>
      </c>
      <c r="D140" s="9" t="str">
        <f>UPPER(TRIM(messy_sales!D140))</f>
        <v>IN</v>
      </c>
      <c r="E140" s="9" t="str">
        <f>messy_sales!E140</f>
        <v>APAC</v>
      </c>
      <c r="F140" s="9" t="str">
        <f>messy_sales!F140</f>
        <v>Mid-Market</v>
      </c>
      <c r="G140" s="8">
        <f>IF(messy_sales!G140="", "Missing" , messy_sales!G140)</f>
        <v>7418.67</v>
      </c>
    </row>
    <row r="141">
      <c r="A141" s="9" t="str">
        <f>messy_sales!A141</f>
        <v>ORD-01140</v>
      </c>
      <c r="B141" s="10">
        <f>IFERROR(DATEVALUE(messy_sales!B141), "Invalid Date")</f>
        <v>45600</v>
      </c>
      <c r="C141" s="9" t="str">
        <f>TRIM(messy_sales!C141)</f>
        <v>Graphic Design Institute</v>
      </c>
      <c r="D141" s="9" t="str">
        <f>UPPER(TRIM(messy_sales!D141))</f>
        <v>GB</v>
      </c>
      <c r="E141" s="9" t="str">
        <f>messy_sales!E141</f>
        <v>EMEA</v>
      </c>
      <c r="F141" s="9" t="str">
        <f>messy_sales!F141</f>
        <v>SMB</v>
      </c>
      <c r="G141" s="8">
        <f>IF(messy_sales!G141="", "Missing" , messy_sales!G141)</f>
        <v>2086.75</v>
      </c>
    </row>
    <row r="142">
      <c r="A142" s="9" t="str">
        <f>messy_sales!A142</f>
        <v>ORD-01141</v>
      </c>
      <c r="B142" s="10">
        <f>IFERROR(DATEVALUE(messy_sales!B142), "Invalid Date")</f>
        <v>45437</v>
      </c>
      <c r="C142" s="9" t="str">
        <f>TRIM(messy_sales!C142)</f>
        <v>Contoso Ltd</v>
      </c>
      <c r="D142" s="9" t="str">
        <f>UPPER(TRIM(messy_sales!D142))</f>
        <v>US</v>
      </c>
      <c r="E142" s="9" t="str">
        <f>messy_sales!E142</f>
        <v>North America</v>
      </c>
      <c r="F142" s="9" t="str">
        <f>messy_sales!F142</f>
        <v>Enterprise</v>
      </c>
      <c r="G142" s="8">
        <f>IF(messy_sales!G142="", "Missing" , messy_sales!G142)</f>
        <v>30272.74</v>
      </c>
    </row>
    <row r="143">
      <c r="A143" s="9" t="str">
        <f>messy_sales!A143</f>
        <v>ORD-01142</v>
      </c>
      <c r="B143" s="10">
        <f>IFERROR(DATEVALUE(messy_sales!B143), "Invalid Date")</f>
        <v>45737</v>
      </c>
      <c r="C143" s="9" t="str">
        <f>TRIM(messy_sales!C143)</f>
        <v>Pacific Northwest Co</v>
      </c>
      <c r="D143" s="9" t="str">
        <f>UPPER(TRIM(messy_sales!D143))</f>
        <v>US</v>
      </c>
      <c r="E143" s="9" t="str">
        <f>messy_sales!E143</f>
        <v>North America</v>
      </c>
      <c r="F143" s="9" t="str">
        <f>messy_sales!F143</f>
        <v>Mid-Market</v>
      </c>
      <c r="G143" s="8">
        <f>IF(messy_sales!G143="", "Missing" , messy_sales!G143)</f>
        <v>7195.82</v>
      </c>
    </row>
    <row r="144">
      <c r="A144" s="9" t="str">
        <f>messy_sales!A144</f>
        <v>ORD-01143</v>
      </c>
      <c r="B144" s="10">
        <f>IFERROR(DATEVALUE(messy_sales!B144), "Invalid Date")</f>
        <v>45440</v>
      </c>
      <c r="C144" s="9" t="str">
        <f>TRIM(messy_sales!C144)</f>
        <v>Northwind Traders</v>
      </c>
      <c r="D144" s="9" t="str">
        <f>UPPER(TRIM(messy_sales!D144))</f>
        <v>US</v>
      </c>
      <c r="E144" s="9" t="str">
        <f>messy_sales!E144</f>
        <v>North America</v>
      </c>
      <c r="F144" s="9" t="str">
        <f>messy_sales!F144</f>
        <v>Enterprise</v>
      </c>
      <c r="G144" s="8" t="str">
        <f>IF(messy_sales!G144="", "Missing" , messy_sales!G144)</f>
        <v>Missing</v>
      </c>
    </row>
    <row r="145">
      <c r="A145" s="9" t="str">
        <f>messy_sales!A145</f>
        <v>ORD-01144</v>
      </c>
      <c r="B145" s="10">
        <f>IFERROR(DATEVALUE(messy_sales!B145), "Invalid Date")</f>
        <v>45301</v>
      </c>
      <c r="C145" s="9" t="str">
        <f>TRIM(messy_sales!C145)</f>
        <v>Proseware GmbH</v>
      </c>
      <c r="D145" s="9" t="str">
        <f>UPPER(TRIM(messy_sales!D145))</f>
        <v>DE</v>
      </c>
      <c r="E145" s="9" t="str">
        <f>messy_sales!E145</f>
        <v>EMEA</v>
      </c>
      <c r="F145" s="9" t="str">
        <f>messy_sales!F145</f>
        <v>Enterprise</v>
      </c>
      <c r="G145" s="8">
        <f>IF(messy_sales!G145="", "Missing" , messy_sales!G145)</f>
        <v>33399.41</v>
      </c>
    </row>
    <row r="146">
      <c r="A146" s="9" t="str">
        <f>messy_sales!A146</f>
        <v>ORD-01145</v>
      </c>
      <c r="B146" s="10">
        <f>IFERROR(DATEVALUE(messy_sales!B146), "Invalid Date")</f>
        <v>45683</v>
      </c>
      <c r="C146" s="9" t="str">
        <f>TRIM(messy_sales!C146)</f>
        <v>Adventure Works</v>
      </c>
      <c r="D146" s="9" t="str">
        <f>UPPER(TRIM(messy_sales!D146))</f>
        <v>CA</v>
      </c>
      <c r="E146" s="9" t="str">
        <f>messy_sales!E146</f>
        <v>North America</v>
      </c>
      <c r="F146" s="9" t="str">
        <f>messy_sales!F146</f>
        <v>Mid-Market</v>
      </c>
      <c r="G146" s="8">
        <f>IF(messy_sales!G146="", "Missing" , messy_sales!G146)</f>
        <v>11370.85</v>
      </c>
    </row>
    <row r="147">
      <c r="A147" s="9" t="str">
        <f>messy_sales!A147</f>
        <v>ORD-01146</v>
      </c>
      <c r="B147" s="10">
        <f>IFERROR(DATEVALUE(messy_sales!B147), "Invalid Date")</f>
        <v>45601</v>
      </c>
      <c r="C147" s="9" t="str">
        <f>TRIM(messy_sales!C147)</f>
        <v>Hanseatic Imports</v>
      </c>
      <c r="D147" s="9" t="str">
        <f>UPPER(TRIM(messy_sales!D147))</f>
        <v>DE</v>
      </c>
      <c r="E147" s="9" t="str">
        <f>messy_sales!E147</f>
        <v>EMEA</v>
      </c>
      <c r="F147" s="9" t="str">
        <f>messy_sales!F147</f>
        <v>SMB</v>
      </c>
      <c r="G147" s="8">
        <f>IF(messy_sales!G147="", "Missing" , messy_sales!G147)</f>
        <v>2886.37</v>
      </c>
    </row>
    <row r="148">
      <c r="A148" s="9" t="str">
        <f>messy_sales!A148</f>
        <v>ORD-01147</v>
      </c>
      <c r="B148" s="10">
        <f>IFERROR(DATEVALUE(messy_sales!B148), "Invalid Date")</f>
        <v>45799</v>
      </c>
      <c r="C148" s="9" t="str">
        <f>TRIM(messy_sales!C148)</f>
        <v>Nordwind Energie</v>
      </c>
      <c r="D148" s="9" t="str">
        <f>UPPER(TRIM(messy_sales!D148))</f>
        <v>DE</v>
      </c>
      <c r="E148" s="9" t="str">
        <f>messy_sales!E148</f>
        <v>EMEA</v>
      </c>
      <c r="F148" s="9" t="str">
        <f>messy_sales!F148</f>
        <v>Mid-Market</v>
      </c>
      <c r="G148" s="8">
        <f>IF(messy_sales!G148="", "Missing" , messy_sales!G148)</f>
        <v>2947.31</v>
      </c>
    </row>
    <row r="149">
      <c r="A149" s="9" t="str">
        <f>messy_sales!A149</f>
        <v>ORD-01148</v>
      </c>
      <c r="B149" s="10">
        <f>IFERROR(DATEVALUE(messy_sales!B149), "Invalid Date")</f>
        <v>45801</v>
      </c>
      <c r="C149" s="9" t="str">
        <f>TRIM(messy_sales!C149)</f>
        <v>Litware Systems</v>
      </c>
      <c r="D149" s="9" t="str">
        <f>UPPER(TRIM(messy_sales!D149))</f>
        <v>GB</v>
      </c>
      <c r="E149" s="9" t="str">
        <f>messy_sales!E149</f>
        <v>EMEA</v>
      </c>
      <c r="F149" s="9" t="str">
        <f>messy_sales!F149</f>
        <v>Enterprise</v>
      </c>
      <c r="G149" s="8">
        <f>IF(messy_sales!G149="", "Missing" , messy_sales!G149)</f>
        <v>16516.18</v>
      </c>
    </row>
    <row r="150">
      <c r="A150" s="9" t="str">
        <f>messy_sales!A150</f>
        <v>ORD-01149</v>
      </c>
      <c r="B150" s="10">
        <f>IFERROR(DATEVALUE(messy_sales!B150), "Invalid Date")</f>
        <v>45466</v>
      </c>
      <c r="C150" s="9" t="str">
        <f>TRIM(messy_sales!C150)</f>
        <v>Mumbai Fresh Foods</v>
      </c>
      <c r="D150" s="9" t="str">
        <f>UPPER(TRIM(messy_sales!D150))</f>
        <v>IN</v>
      </c>
      <c r="E150" s="9" t="str">
        <f>messy_sales!E150</f>
        <v>APAC</v>
      </c>
      <c r="F150" s="9" t="str">
        <f>messy_sales!F150</f>
        <v>SMB</v>
      </c>
      <c r="G150" s="8">
        <f>IF(messy_sales!G150="", "Missing" , messy_sales!G150)</f>
        <v>594.13</v>
      </c>
    </row>
    <row r="151">
      <c r="A151" s="9" t="str">
        <f>messy_sales!A151</f>
        <v>ORD-01150</v>
      </c>
      <c r="B151" s="10">
        <f>IFERROR(DATEVALUE(messy_sales!B151), "Invalid Date")</f>
        <v>45714</v>
      </c>
      <c r="C151" s="9" t="str">
        <f>TRIM(messy_sales!C151)</f>
        <v>Mumbai Fresh Foods</v>
      </c>
      <c r="D151" s="9" t="str">
        <f>UPPER(TRIM(messy_sales!D151))</f>
        <v>IN</v>
      </c>
      <c r="E151" s="9" t="str">
        <f>messy_sales!E151</f>
        <v>APAC</v>
      </c>
      <c r="F151" s="9" t="str">
        <f>messy_sales!F151</f>
        <v>SMB</v>
      </c>
      <c r="G151" s="8">
        <f>IF(messy_sales!G151="", "Missing" , messy_sales!G151)</f>
        <v>2567.67</v>
      </c>
    </row>
    <row r="152">
      <c r="A152" s="9" t="str">
        <f>messy_sales!A152</f>
        <v>ORD-01151</v>
      </c>
      <c r="B152" s="10">
        <f>IFERROR(DATEVALUE(messy_sales!B152), "Invalid Date")</f>
        <v>45581</v>
      </c>
      <c r="C152" s="9" t="str">
        <f>TRIM(messy_sales!C152)</f>
        <v>Litware Systems</v>
      </c>
      <c r="D152" s="9" t="str">
        <f>UPPER(TRIM(messy_sales!D152))</f>
        <v>GB</v>
      </c>
      <c r="E152" s="9" t="str">
        <f>messy_sales!E152</f>
        <v>EMEA</v>
      </c>
      <c r="F152" s="9" t="str">
        <f>messy_sales!F152</f>
        <v>Enterprise</v>
      </c>
      <c r="G152" s="8">
        <f>IF(messy_sales!G152="", "Missing" , messy_sales!G152)</f>
        <v>10470.39</v>
      </c>
    </row>
    <row r="153">
      <c r="A153" s="9" t="str">
        <f>messy_sales!A153</f>
        <v>ORD-01152</v>
      </c>
      <c r="B153" s="10">
        <f>IFERROR(DATEVALUE(messy_sales!B153), "Invalid Date")</f>
        <v>45709</v>
      </c>
      <c r="C153" s="9" t="str">
        <f>TRIM(messy_sales!C153)</f>
        <v>Tata Consultancy Retail</v>
      </c>
      <c r="D153" s="9" t="str">
        <f>UPPER(TRIM(messy_sales!D153))</f>
        <v>IN</v>
      </c>
      <c r="E153" s="9" t="str">
        <f>messy_sales!E153</f>
        <v>APAC</v>
      </c>
      <c r="F153" s="9" t="str">
        <f>messy_sales!F153</f>
        <v>Enterprise</v>
      </c>
      <c r="G153" s="8">
        <f>IF(messy_sales!G153="", "Missing" , messy_sales!G153)</f>
        <v>39109.81</v>
      </c>
    </row>
    <row r="154">
      <c r="A154" s="9" t="str">
        <f>messy_sales!A154</f>
        <v>ORD-01153</v>
      </c>
      <c r="B154" s="10">
        <f>IFERROR(DATEVALUE(messy_sales!B154), "Invalid Date")</f>
        <v>45488</v>
      </c>
      <c r="C154" s="9" t="str">
        <f>TRIM(messy_sales!C154)</f>
        <v>Proseware GmbH</v>
      </c>
      <c r="D154" s="9" t="str">
        <f>UPPER(TRIM(messy_sales!D154))</f>
        <v>DE</v>
      </c>
      <c r="E154" s="9" t="str">
        <f>messy_sales!E154</f>
        <v>EMEA</v>
      </c>
      <c r="F154" s="9" t="str">
        <f>messy_sales!F154</f>
        <v>Enterprise</v>
      </c>
      <c r="G154" s="8">
        <f>IF(messy_sales!G154="", "Missing" , messy_sales!G154)</f>
        <v>36658.64</v>
      </c>
    </row>
    <row r="155">
      <c r="A155" s="9" t="str">
        <f>messy_sales!A155</f>
        <v>ORD-01154</v>
      </c>
      <c r="B155" s="10">
        <f>IFERROR(DATEVALUE(messy_sales!B155), "Invalid Date")</f>
        <v>45631</v>
      </c>
      <c r="C155" s="9" t="str">
        <f>TRIM(messy_sales!C155)</f>
        <v>Graphic Design Institute</v>
      </c>
      <c r="D155" s="9" t="str">
        <f>UPPER(TRIM(messy_sales!D155))</f>
        <v>GB</v>
      </c>
      <c r="E155" s="9" t="str">
        <f>messy_sales!E155</f>
        <v>EMEA</v>
      </c>
      <c r="F155" s="9" t="str">
        <f>messy_sales!F155</f>
        <v>SMB</v>
      </c>
      <c r="G155" s="8">
        <f>IF(messy_sales!G155="", "Missing" , messy_sales!G155)</f>
        <v>2111.16</v>
      </c>
    </row>
    <row r="156">
      <c r="A156" s="9" t="str">
        <f>messy_sales!A156</f>
        <v>ORD-01155</v>
      </c>
      <c r="B156" s="10">
        <f>IFERROR(DATEVALUE(messy_sales!B156), "Invalid Date")</f>
        <v>45350</v>
      </c>
      <c r="C156" s="9" t="str">
        <f>TRIM(messy_sales!C156)</f>
        <v>Outback Supplies</v>
      </c>
      <c r="D156" s="9" t="str">
        <f>UPPER(TRIM(messy_sales!D156))</f>
        <v>AU</v>
      </c>
      <c r="E156" s="9" t="str">
        <f>messy_sales!E156</f>
        <v>APAC</v>
      </c>
      <c r="F156" s="9" t="str">
        <f>messy_sales!F156</f>
        <v>Mid-Market</v>
      </c>
      <c r="G156" s="8">
        <f>IF(messy_sales!G156="", "Missing" , messy_sales!G156)</f>
        <v>3937.55</v>
      </c>
    </row>
    <row r="157">
      <c r="A157" s="9" t="str">
        <f>messy_sales!A157</f>
        <v>ORD-01156</v>
      </c>
      <c r="B157" s="10">
        <f>IFERROR(DATEVALUE(messy_sales!B157), "Invalid Date")</f>
        <v>45368</v>
      </c>
      <c r="C157" s="9" t="str">
        <f>TRIM(messy_sales!C157)</f>
        <v>Bengaluru Softworks</v>
      </c>
      <c r="D157" s="9" t="str">
        <f>UPPER(TRIM(messy_sales!D157))</f>
        <v>IN</v>
      </c>
      <c r="E157" s="9" t="str">
        <f>messy_sales!E157</f>
        <v>APAC</v>
      </c>
      <c r="F157" s="9" t="str">
        <f>messy_sales!F157</f>
        <v>Mid-Market</v>
      </c>
      <c r="G157" s="8">
        <f>IF(messy_sales!G157="", "Missing" , messy_sales!G157)</f>
        <v>10295.69</v>
      </c>
    </row>
    <row r="158">
      <c r="A158" s="9" t="str">
        <f>messy_sales!A158</f>
        <v>ORD-01157</v>
      </c>
      <c r="B158" s="10">
        <f>IFERROR(DATEVALUE(messy_sales!B158), "Invalid Date")</f>
        <v>45725</v>
      </c>
      <c r="C158" s="9" t="str">
        <f>TRIM(messy_sales!C158)</f>
        <v>Nordwind Energie</v>
      </c>
      <c r="D158" s="9" t="str">
        <f>UPPER(TRIM(messy_sales!D158))</f>
        <v>DE</v>
      </c>
      <c r="E158" s="9" t="str">
        <f>messy_sales!E158</f>
        <v>EMEA</v>
      </c>
      <c r="F158" s="9" t="str">
        <f>messy_sales!F158</f>
        <v>Mid-Market</v>
      </c>
      <c r="G158" s="8">
        <f>IF(messy_sales!G158="", "Missing" , messy_sales!G158)</f>
        <v>2896.72</v>
      </c>
    </row>
    <row r="159">
      <c r="A159" s="9" t="str">
        <f>messy_sales!A159</f>
        <v>ORD-01158</v>
      </c>
      <c r="B159" s="10">
        <f>IFERROR(DATEVALUE(messy_sales!B159), "Invalid Date")</f>
        <v>45592</v>
      </c>
      <c r="C159" s="9" t="str">
        <f>TRIM(messy_sales!C159)</f>
        <v>Outback Supplies</v>
      </c>
      <c r="D159" s="9" t="str">
        <f>UPPER(TRIM(messy_sales!D159))</f>
        <v>AU</v>
      </c>
      <c r="E159" s="9" t="str">
        <f>messy_sales!E159</f>
        <v>APAC</v>
      </c>
      <c r="F159" s="9" t="str">
        <f>messy_sales!F159</f>
        <v>Mid-Market</v>
      </c>
      <c r="G159" s="8">
        <f>IF(messy_sales!G159="", "Missing" , messy_sales!G159)</f>
        <v>7453.86</v>
      </c>
    </row>
    <row r="160">
      <c r="A160" s="9" t="str">
        <f>messy_sales!A160</f>
        <v>ORD-01159</v>
      </c>
      <c r="B160" s="10">
        <f>IFERROR(DATEVALUE(messy_sales!B160), "Invalid Date")</f>
        <v>45341</v>
      </c>
      <c r="C160" s="9" t="str">
        <f>TRIM(messy_sales!C160)</f>
        <v>Proseware GmbH</v>
      </c>
      <c r="D160" s="9" t="str">
        <f>UPPER(TRIM(messy_sales!D160))</f>
        <v>DE</v>
      </c>
      <c r="E160" s="9" t="str">
        <f>messy_sales!E160</f>
        <v>EMEA</v>
      </c>
      <c r="F160" s="9" t="str">
        <f>messy_sales!F160</f>
        <v>Enterprise</v>
      </c>
      <c r="G160" s="8">
        <f>IF(messy_sales!G160="", "Missing" , messy_sales!G160)</f>
        <v>40856.03</v>
      </c>
    </row>
    <row r="161">
      <c r="A161" s="9" t="str">
        <f>messy_sales!A161</f>
        <v>ORD-01160</v>
      </c>
      <c r="B161" s="10">
        <f>IFERROR(DATEVALUE(messy_sales!B161), "Invalid Date")</f>
        <v>45680</v>
      </c>
      <c r="C161" s="9" t="str">
        <f>TRIM(messy_sales!C161)</f>
        <v>Marina Bay Retail</v>
      </c>
      <c r="D161" s="9" t="str">
        <f>UPPER(TRIM(messy_sales!D161))</f>
        <v>SG</v>
      </c>
      <c r="E161" s="9" t="str">
        <f>messy_sales!E161</f>
        <v>APAC</v>
      </c>
      <c r="F161" s="9" t="str">
        <f>messy_sales!F161</f>
        <v>Enterprise</v>
      </c>
      <c r="G161" s="8">
        <f>IF(messy_sales!G161="", "Missing" , messy_sales!G161)</f>
        <v>34910.77</v>
      </c>
    </row>
    <row r="162">
      <c r="A162" s="9" t="str">
        <f>messy_sales!A162</f>
        <v>ORD-01161</v>
      </c>
      <c r="B162" s="10">
        <f>IFERROR(DATEVALUE(messy_sales!B162), "Invalid Date")</f>
        <v>45303</v>
      </c>
      <c r="C162" s="9" t="str">
        <f>TRIM(messy_sales!C162)</f>
        <v>Marina Bay Retail</v>
      </c>
      <c r="D162" s="9" t="str">
        <f>UPPER(TRIM(messy_sales!D162))</f>
        <v>SG</v>
      </c>
      <c r="E162" s="9" t="str">
        <f>messy_sales!E162</f>
        <v>APAC</v>
      </c>
      <c r="F162" s="9" t="str">
        <f>messy_sales!F162</f>
        <v>Enterprise</v>
      </c>
      <c r="G162" s="8">
        <f>IF(messy_sales!G162="", "Missing" , messy_sales!G162)</f>
        <v>17423.73</v>
      </c>
    </row>
    <row r="163">
      <c r="A163" s="9" t="str">
        <f>messy_sales!A163</f>
        <v>ORD-01162</v>
      </c>
      <c r="B163" s="10">
        <f>IFERROR(DATEVALUE(messy_sales!B163), "Invalid Date")</f>
        <v>45320</v>
      </c>
      <c r="C163" s="9" t="str">
        <f>TRIM(messy_sales!C163)</f>
        <v>Maple Leaf Distributors</v>
      </c>
      <c r="D163" s="9" t="str">
        <f>UPPER(TRIM(messy_sales!D163))</f>
        <v>CA</v>
      </c>
      <c r="E163" s="9" t="str">
        <f>messy_sales!E163</f>
        <v>North America</v>
      </c>
      <c r="F163" s="9" t="str">
        <f>messy_sales!F163</f>
        <v>Enterprise</v>
      </c>
      <c r="G163" s="8">
        <f>IF(messy_sales!G163="", "Missing" , messy_sales!G163)</f>
        <v>35394.42</v>
      </c>
    </row>
    <row r="164">
      <c r="A164" s="9" t="str">
        <f>messy_sales!A164</f>
        <v>ORD-01163</v>
      </c>
      <c r="B164" s="10">
        <f>IFERROR(DATEVALUE(messy_sales!B164), "Invalid Date")</f>
        <v>45560</v>
      </c>
      <c r="C164" s="9" t="str">
        <f>TRIM(messy_sales!C164)</f>
        <v>Adventure Works</v>
      </c>
      <c r="D164" s="9" t="str">
        <f>UPPER(TRIM(messy_sales!D164))</f>
        <v>CA</v>
      </c>
      <c r="E164" s="9" t="str">
        <f>messy_sales!E164</f>
        <v>North America</v>
      </c>
      <c r="F164" s="9" t="str">
        <f>messy_sales!F164</f>
        <v>Mid-Market</v>
      </c>
      <c r="G164" s="8">
        <f>IF(messy_sales!G164="", "Missing" , messy_sales!G164)</f>
        <v>2569.43</v>
      </c>
    </row>
    <row r="165">
      <c r="A165" s="9" t="str">
        <f>messy_sales!A165</f>
        <v>ORD-01164</v>
      </c>
      <c r="B165" s="10">
        <f>IFERROR(DATEVALUE(messy_sales!B165), "Invalid Date")</f>
        <v>45662</v>
      </c>
      <c r="C165" s="9" t="str">
        <f>TRIM(messy_sales!C165)</f>
        <v>Wingtip Retail</v>
      </c>
      <c r="D165" s="9" t="str">
        <f>UPPER(TRIM(messy_sales!D165))</f>
        <v>US</v>
      </c>
      <c r="E165" s="9" t="str">
        <f>messy_sales!E165</f>
        <v>North America</v>
      </c>
      <c r="F165" s="9" t="str">
        <f>messy_sales!F165</f>
        <v>SMB</v>
      </c>
      <c r="G165" s="8">
        <f>IF(messy_sales!G165="", "Missing" , messy_sales!G165)</f>
        <v>2539.64</v>
      </c>
    </row>
    <row r="166">
      <c r="A166" s="9" t="str">
        <f>messy_sales!A166</f>
        <v>ORD-01165</v>
      </c>
      <c r="B166" s="10">
        <f>IFERROR(DATEVALUE(messy_sales!B166), "Invalid Date")</f>
        <v>45549</v>
      </c>
      <c r="C166" s="9" t="str">
        <f>TRIM(messy_sales!C166)</f>
        <v>Emirates Retail Group</v>
      </c>
      <c r="D166" s="9" t="str">
        <f>UPPER(TRIM(messy_sales!D166))</f>
        <v>AE</v>
      </c>
      <c r="E166" s="9" t="str">
        <f>messy_sales!E166</f>
        <v>EMEA</v>
      </c>
      <c r="F166" s="9" t="str">
        <f>messy_sales!F166</f>
        <v>Enterprise</v>
      </c>
      <c r="G166" s="8">
        <f>IF(messy_sales!G166="", "Missing" , messy_sales!G166)</f>
        <v>21386.76</v>
      </c>
    </row>
    <row r="167">
      <c r="A167" s="9" t="str">
        <f>messy_sales!A167</f>
        <v>ORD-01166</v>
      </c>
      <c r="B167" s="10">
        <f>IFERROR(DATEVALUE(messy_sales!B167), "Invalid Date")</f>
        <v>45379</v>
      </c>
      <c r="C167" s="9" t="str">
        <f>TRIM(messy_sales!C167)</f>
        <v>Nordwind Energie</v>
      </c>
      <c r="D167" s="9" t="str">
        <f>UPPER(TRIM(messy_sales!D167))</f>
        <v>DE</v>
      </c>
      <c r="E167" s="9" t="str">
        <f>messy_sales!E167</f>
        <v>EMEA</v>
      </c>
      <c r="F167" s="9" t="str">
        <f>messy_sales!F167</f>
        <v>Mid-Market</v>
      </c>
      <c r="G167" s="8">
        <f>IF(messy_sales!G167="", "Missing" , messy_sales!G167)</f>
        <v>3861.25</v>
      </c>
    </row>
    <row r="168">
      <c r="A168" s="9" t="str">
        <f>messy_sales!A168</f>
        <v>ORD-01167</v>
      </c>
      <c r="B168" s="10">
        <f>IFERROR(DATEVALUE(messy_sales!B168), "Invalid Date")</f>
        <v>45785</v>
      </c>
      <c r="C168" s="9" t="str">
        <f>TRIM(messy_sales!C168)</f>
        <v>Marina Bay Retail</v>
      </c>
      <c r="D168" s="9" t="str">
        <f>UPPER(TRIM(messy_sales!D168))</f>
        <v>SG</v>
      </c>
      <c r="E168" s="9" t="str">
        <f>messy_sales!E168</f>
        <v>APAC</v>
      </c>
      <c r="F168" s="9" t="str">
        <f>messy_sales!F168</f>
        <v>Enterprise</v>
      </c>
      <c r="G168" s="8">
        <f>IF(messy_sales!G168="", "Missing" , messy_sales!G168)</f>
        <v>28903.26</v>
      </c>
    </row>
    <row r="169">
      <c r="A169" s="9" t="str">
        <f>messy_sales!A169</f>
        <v>ORD-01168</v>
      </c>
      <c r="B169" s="10">
        <f>IFERROR(DATEVALUE(messy_sales!B169), "Invalid Date")</f>
        <v>45652</v>
      </c>
      <c r="C169" s="9" t="str">
        <f>TRIM(messy_sales!C169)</f>
        <v>Adventure Works</v>
      </c>
      <c r="D169" s="9" t="str">
        <f>UPPER(TRIM(messy_sales!D169))</f>
        <v>CA</v>
      </c>
      <c r="E169" s="9" t="str">
        <f>messy_sales!E169</f>
        <v>North America</v>
      </c>
      <c r="F169" s="9" t="str">
        <f>messy_sales!F169</f>
        <v>Mid-Market</v>
      </c>
      <c r="G169" s="8">
        <f>IF(messy_sales!G169="", "Missing" , messy_sales!G169)</f>
        <v>5375.17</v>
      </c>
    </row>
    <row r="170">
      <c r="A170" s="9" t="str">
        <f>messy_sales!A170</f>
        <v>ORD-01169</v>
      </c>
      <c r="B170" s="10">
        <f>IFERROR(DATEVALUE(messy_sales!B170), "Invalid Date")</f>
        <v>45574</v>
      </c>
      <c r="C170" s="9" t="str">
        <f>TRIM(messy_sales!C170)</f>
        <v>Nordwind Energie</v>
      </c>
      <c r="D170" s="9" t="str">
        <f>UPPER(TRIM(messy_sales!D170))</f>
        <v>DE</v>
      </c>
      <c r="E170" s="9" t="str">
        <f>messy_sales!E170</f>
        <v>EMEA</v>
      </c>
      <c r="F170" s="9" t="str">
        <f>messy_sales!F170</f>
        <v>Mid-Market</v>
      </c>
      <c r="G170" s="8">
        <f>IF(messy_sales!G170="", "Missing" , messy_sales!G170)</f>
        <v>2906.21</v>
      </c>
    </row>
    <row r="171">
      <c r="A171" s="9" t="str">
        <f>messy_sales!A171</f>
        <v>ORD-01170</v>
      </c>
      <c r="B171" s="10">
        <f>IFERROR(DATEVALUE(messy_sales!B171), "Invalid Date")</f>
        <v>45332</v>
      </c>
      <c r="C171" s="9" t="str">
        <f>TRIM(messy_sales!C171)</f>
        <v>Marina Bay Retail</v>
      </c>
      <c r="D171" s="9" t="str">
        <f>UPPER(TRIM(messy_sales!D171))</f>
        <v>SG</v>
      </c>
      <c r="E171" s="9" t="str">
        <f>messy_sales!E171</f>
        <v>APAC</v>
      </c>
      <c r="F171" s="9" t="str">
        <f>messy_sales!F171</f>
        <v>Enterprise</v>
      </c>
      <c r="G171" s="8">
        <f>IF(messy_sales!G171="", "Missing" , messy_sales!G171)</f>
        <v>39816.64</v>
      </c>
    </row>
    <row r="172">
      <c r="A172" s="9" t="str">
        <f>messy_sales!A172</f>
        <v>ORD-01171</v>
      </c>
      <c r="B172" s="10">
        <f>IFERROR(DATEVALUE(messy_sales!B172), "Invalid Date")</f>
        <v>45831</v>
      </c>
      <c r="C172" s="9" t="str">
        <f>TRIM(messy_sales!C172)</f>
        <v>Lion City Traders</v>
      </c>
      <c r="D172" s="9" t="str">
        <f>UPPER(TRIM(messy_sales!D172))</f>
        <v>SG</v>
      </c>
      <c r="E172" s="9" t="str">
        <f>messy_sales!E172</f>
        <v>APAC</v>
      </c>
      <c r="F172" s="9" t="str">
        <f>messy_sales!F172</f>
        <v>Mid-Market</v>
      </c>
      <c r="G172" s="8">
        <f>IF(messy_sales!G172="", "Missing" , messy_sales!G172)</f>
        <v>3442.08</v>
      </c>
    </row>
    <row r="173">
      <c r="A173" s="9" t="str">
        <f>messy_sales!A173</f>
        <v>ORD-01172</v>
      </c>
      <c r="B173" s="10">
        <f>IFERROR(DATEVALUE(messy_sales!B173), "Invalid Date")</f>
        <v>45357</v>
      </c>
      <c r="C173" s="9" t="str">
        <f>TRIM(messy_sales!C173)</f>
        <v>Great Barrier Retail</v>
      </c>
      <c r="D173" s="9" t="str">
        <f>UPPER(TRIM(messy_sales!D173))</f>
        <v>AU</v>
      </c>
      <c r="E173" s="9" t="str">
        <f>messy_sales!E173</f>
        <v>APAC</v>
      </c>
      <c r="F173" s="9" t="str">
        <f>messy_sales!F173</f>
        <v>SMB</v>
      </c>
      <c r="G173" s="8">
        <f>IF(messy_sales!G173="", "Missing" , messy_sales!G173)</f>
        <v>3429.1</v>
      </c>
    </row>
    <row r="174">
      <c r="A174" s="9" t="str">
        <f>messy_sales!A174</f>
        <v>ORD-01173</v>
      </c>
      <c r="B174" s="10">
        <f>IFERROR(DATEVALUE(messy_sales!B174), "Invalid Date")</f>
        <v>45804</v>
      </c>
      <c r="C174" s="9" t="str">
        <f>TRIM(messy_sales!C174)</f>
        <v>Graphic Design Institute</v>
      </c>
      <c r="D174" s="9" t="str">
        <f>UPPER(TRIM(messy_sales!D174))</f>
        <v>GB</v>
      </c>
      <c r="E174" s="9" t="str">
        <f>messy_sales!E174</f>
        <v>EMEA</v>
      </c>
      <c r="F174" s="9" t="str">
        <f>messy_sales!F174</f>
        <v>SMB</v>
      </c>
      <c r="G174" s="8">
        <f>IF(messy_sales!G174="", "Missing" , messy_sales!G174)</f>
        <v>1707.62</v>
      </c>
    </row>
    <row r="175">
      <c r="A175" s="9" t="str">
        <f>messy_sales!A175</f>
        <v>ORD-01174</v>
      </c>
      <c r="B175" s="10">
        <f>IFERROR(DATEVALUE(messy_sales!B175), "Invalid Date")</f>
        <v>45726</v>
      </c>
      <c r="C175" s="9" t="str">
        <f>TRIM(messy_sales!C175)</f>
        <v>Desert Trading LLC</v>
      </c>
      <c r="D175" s="9" t="str">
        <f>UPPER(TRIM(messy_sales!D175))</f>
        <v>AE</v>
      </c>
      <c r="E175" s="9" t="str">
        <f>messy_sales!E175</f>
        <v>EMEA</v>
      </c>
      <c r="F175" s="9" t="str">
        <f>messy_sales!F175</f>
        <v>Mid-Market</v>
      </c>
      <c r="G175" s="8">
        <f>IF(messy_sales!G175="", "Missing" , messy_sales!G175)</f>
        <v>11085.09</v>
      </c>
    </row>
    <row r="176">
      <c r="A176" s="9" t="str">
        <f>messy_sales!A176</f>
        <v>ORD-01175</v>
      </c>
      <c r="B176" s="10">
        <f>IFERROR(DATEVALUE(messy_sales!B176), "Invalid Date")</f>
        <v>45395</v>
      </c>
      <c r="C176" s="9" t="str">
        <f>TRIM(messy_sales!C176)</f>
        <v>Northwind Traders</v>
      </c>
      <c r="D176" s="9" t="str">
        <f>UPPER(TRIM(messy_sales!D176))</f>
        <v>US</v>
      </c>
      <c r="E176" s="9" t="str">
        <f>messy_sales!E176</f>
        <v>North America</v>
      </c>
      <c r="F176" s="9" t="str">
        <f>messy_sales!F176</f>
        <v>Enterprise</v>
      </c>
      <c r="G176" s="8">
        <f>IF(messy_sales!G176="", "Missing" , messy_sales!G176)</f>
        <v>20783.52</v>
      </c>
    </row>
    <row r="177">
      <c r="A177" s="9" t="str">
        <f>messy_sales!A177</f>
        <v>ORD-01176</v>
      </c>
      <c r="B177" s="10">
        <f>IFERROR(DATEVALUE(messy_sales!B177), "Invalid Date")</f>
        <v>45385</v>
      </c>
      <c r="C177" s="9" t="str">
        <f>TRIM(messy_sales!C177)</f>
        <v>Bengaluru Softworks</v>
      </c>
      <c r="D177" s="9" t="str">
        <f>UPPER(TRIM(messy_sales!D177))</f>
        <v>IN</v>
      </c>
      <c r="E177" s="9" t="str">
        <f>messy_sales!E177</f>
        <v>APAC</v>
      </c>
      <c r="F177" s="9" t="str">
        <f>messy_sales!F177</f>
        <v>Mid-Market</v>
      </c>
      <c r="G177" s="8">
        <f>IF(messy_sales!G177="", "Missing" , messy_sales!G177)</f>
        <v>4706.18</v>
      </c>
    </row>
    <row r="178">
      <c r="A178" s="9" t="str">
        <f>messy_sales!A178</f>
        <v>ORD-01177</v>
      </c>
      <c r="B178" s="10">
        <f>IFERROR(DATEVALUE(messy_sales!B178), "Invalid Date")</f>
        <v>45411</v>
      </c>
      <c r="C178" s="9" t="str">
        <f>TRIM(messy_sales!C178)</f>
        <v>Nordwind Energie</v>
      </c>
      <c r="D178" s="9" t="str">
        <f>UPPER(TRIM(messy_sales!D178))</f>
        <v>DE</v>
      </c>
      <c r="E178" s="9" t="str">
        <f>messy_sales!E178</f>
        <v>EMEA</v>
      </c>
      <c r="F178" s="9" t="str">
        <f>messy_sales!F178</f>
        <v>Mid-Market</v>
      </c>
      <c r="G178" s="8">
        <f>IF(messy_sales!G178="", "Missing" , messy_sales!G178)</f>
        <v>4074.23</v>
      </c>
    </row>
    <row r="179">
      <c r="A179" s="9" t="str">
        <f>messy_sales!A179</f>
        <v>ORD-01178</v>
      </c>
      <c r="B179" s="10">
        <f>IFERROR(DATEVALUE(messy_sales!B179), "Invalid Date")</f>
        <v>45351</v>
      </c>
      <c r="C179" s="9" t="str">
        <f>TRIM(messy_sales!C179)</f>
        <v>Gulf Logistics</v>
      </c>
      <c r="D179" s="9" t="str">
        <f>UPPER(TRIM(messy_sales!D179))</f>
        <v>AE</v>
      </c>
      <c r="E179" s="9" t="str">
        <f>messy_sales!E179</f>
        <v>EMEA</v>
      </c>
      <c r="F179" s="9" t="str">
        <f>messy_sales!F179</f>
        <v>Enterprise</v>
      </c>
      <c r="G179" s="8">
        <f>IF(messy_sales!G179="", "Missing" , messy_sales!G179)</f>
        <v>41157.85</v>
      </c>
    </row>
    <row r="180">
      <c r="A180" s="9" t="str">
        <f>messy_sales!A180</f>
        <v>ORD-01179</v>
      </c>
      <c r="B180" s="10">
        <f>IFERROR(DATEVALUE(messy_sales!B180), "Invalid Date")</f>
        <v>45324</v>
      </c>
      <c r="C180" s="9" t="str">
        <f>TRIM(messy_sales!C180)</f>
        <v>Sydney Harbour Goods</v>
      </c>
      <c r="D180" s="9" t="str">
        <f>UPPER(TRIM(messy_sales!D180))</f>
        <v>AU</v>
      </c>
      <c r="E180" s="9" t="str">
        <f>messy_sales!E180</f>
        <v>APAC</v>
      </c>
      <c r="F180" s="9" t="str">
        <f>messy_sales!F180</f>
        <v>SMB</v>
      </c>
      <c r="G180" s="8">
        <f>IF(messy_sales!G180="", "Missing" , messy_sales!G180)</f>
        <v>1896.19</v>
      </c>
    </row>
    <row r="181">
      <c r="A181" s="9" t="str">
        <f>messy_sales!A181</f>
        <v>ORD-01180</v>
      </c>
      <c r="B181" s="10">
        <f>IFERROR(DATEVALUE(messy_sales!B181), "Invalid Date")</f>
        <v>45623</v>
      </c>
      <c r="C181" s="9" t="str">
        <f>TRIM(messy_sales!C181)</f>
        <v>Alpine Ski House</v>
      </c>
      <c r="D181" s="9" t="str">
        <f>UPPER(TRIM(messy_sales!D181))</f>
        <v>DE</v>
      </c>
      <c r="E181" s="9" t="str">
        <f>messy_sales!E181</f>
        <v>EMEA</v>
      </c>
      <c r="F181" s="9" t="str">
        <f>messy_sales!F181</f>
        <v>SMB</v>
      </c>
      <c r="G181" s="8">
        <f>IF(messy_sales!G181="", "Missing" , messy_sales!G181)</f>
        <v>1590.6</v>
      </c>
    </row>
    <row r="182">
      <c r="A182" s="9" t="str">
        <f>messy_sales!A182</f>
        <v>ORD-01181</v>
      </c>
      <c r="B182" s="10">
        <f>IFERROR(DATEVALUE(messy_sales!B182), "Invalid Date")</f>
        <v>45426</v>
      </c>
      <c r="C182" s="9" t="str">
        <f>TRIM(messy_sales!C182)</f>
        <v>Wide World Importers</v>
      </c>
      <c r="D182" s="9" t="str">
        <f>UPPER(TRIM(messy_sales!D182))</f>
        <v>GB</v>
      </c>
      <c r="E182" s="9" t="str">
        <f>messy_sales!E182</f>
        <v>EMEA</v>
      </c>
      <c r="F182" s="9" t="str">
        <f>messy_sales!F182</f>
        <v>Mid-Market</v>
      </c>
      <c r="G182" s="8">
        <f>IF(messy_sales!G182="", "Missing" , messy_sales!G182)</f>
        <v>5263.63</v>
      </c>
    </row>
    <row r="183">
      <c r="A183" s="9" t="str">
        <f>messy_sales!A183</f>
        <v>ORD-01182</v>
      </c>
      <c r="B183" s="10">
        <f>IFERROR(DATEVALUE(messy_sales!B183), "Invalid Date")</f>
        <v>45517</v>
      </c>
      <c r="C183" s="9" t="str">
        <f>TRIM(messy_sales!C183)</f>
        <v>Bengaluru Softworks</v>
      </c>
      <c r="D183" s="9" t="str">
        <f>UPPER(TRIM(messy_sales!D183))</f>
        <v>IN</v>
      </c>
      <c r="E183" s="9" t="str">
        <f>messy_sales!E183</f>
        <v>APAC</v>
      </c>
      <c r="F183" s="9" t="str">
        <f>messy_sales!F183</f>
        <v>Mid-Market</v>
      </c>
      <c r="G183" s="8">
        <f>IF(messy_sales!G183="", "Missing" , messy_sales!G183)</f>
        <v>10388.6</v>
      </c>
    </row>
    <row r="184">
      <c r="A184" s="9" t="str">
        <f>messy_sales!A184</f>
        <v>ORD-01183</v>
      </c>
      <c r="B184" s="10">
        <f>IFERROR(DATEVALUE(messy_sales!B184), "Invalid Date")</f>
        <v>45309</v>
      </c>
      <c r="C184" s="9" t="str">
        <f>TRIM(messy_sales!C184)</f>
        <v>Lion City Traders</v>
      </c>
      <c r="D184" s="9" t="str">
        <f>UPPER(TRIM(messy_sales!D184))</f>
        <v>SG</v>
      </c>
      <c r="E184" s="9" t="str">
        <f>messy_sales!E184</f>
        <v>APAC</v>
      </c>
      <c r="F184" s="9" t="str">
        <f>messy_sales!F184</f>
        <v>Mid-Market</v>
      </c>
      <c r="G184" s="8">
        <f>IF(messy_sales!G184="", "Missing" , messy_sales!G184)</f>
        <v>4861.58</v>
      </c>
    </row>
    <row r="185">
      <c r="A185" s="9" t="str">
        <f>messy_sales!A185</f>
        <v>ORD-01184</v>
      </c>
      <c r="B185" s="10">
        <f>IFERROR(DATEVALUE(messy_sales!B185), "Invalid Date")</f>
        <v>45472</v>
      </c>
      <c r="C185" s="9" t="str">
        <f>TRIM(messy_sales!C185)</f>
        <v>Nordwind Energie</v>
      </c>
      <c r="D185" s="9" t="str">
        <f>UPPER(TRIM(messy_sales!D185))</f>
        <v>DE</v>
      </c>
      <c r="E185" s="9" t="str">
        <f>messy_sales!E185</f>
        <v>EMEA</v>
      </c>
      <c r="F185" s="9" t="str">
        <f>messy_sales!F185</f>
        <v>Mid-Market</v>
      </c>
      <c r="G185" s="8">
        <f>IF(messy_sales!G185="", "Missing" , messy_sales!G185)</f>
        <v>4692.11</v>
      </c>
    </row>
    <row r="186">
      <c r="A186" s="9" t="str">
        <f>messy_sales!A186</f>
        <v>ORD-01185</v>
      </c>
      <c r="B186" s="10">
        <f>IFERROR(DATEVALUE(messy_sales!B186), "Invalid Date")</f>
        <v>45512</v>
      </c>
      <c r="C186" s="9" t="str">
        <f>TRIM(messy_sales!C186)</f>
        <v>Graphic Design Institute</v>
      </c>
      <c r="D186" s="9" t="str">
        <f>UPPER(TRIM(messy_sales!D186))</f>
        <v>GB</v>
      </c>
      <c r="E186" s="9" t="str">
        <f>messy_sales!E186</f>
        <v>EMEA</v>
      </c>
      <c r="F186" s="9" t="str">
        <f>messy_sales!F186</f>
        <v>SMB</v>
      </c>
      <c r="G186" s="8">
        <f>IF(messy_sales!G186="", "Missing" , messy_sales!G186)</f>
        <v>602.99</v>
      </c>
    </row>
    <row r="187">
      <c r="A187" s="9" t="str">
        <f>messy_sales!A187</f>
        <v>ORD-01186</v>
      </c>
      <c r="B187" s="10">
        <f>IFERROR(DATEVALUE(messy_sales!B187), "Invalid Date")</f>
        <v>45346</v>
      </c>
      <c r="C187" s="9" t="str">
        <f>TRIM(messy_sales!C187)</f>
        <v>Tata Consultancy Retail</v>
      </c>
      <c r="D187" s="9" t="str">
        <f>UPPER(TRIM(messy_sales!D187))</f>
        <v>IN</v>
      </c>
      <c r="E187" s="9" t="str">
        <f>messy_sales!E187</f>
        <v>APAC</v>
      </c>
      <c r="F187" s="9" t="str">
        <f>messy_sales!F187</f>
        <v>Enterprise</v>
      </c>
      <c r="G187" s="8">
        <f>IF(messy_sales!G187="", "Missing" , messy_sales!G187)</f>
        <v>31134.09</v>
      </c>
    </row>
    <row r="188">
      <c r="A188" s="9" t="str">
        <f>messy_sales!A188</f>
        <v>ORD-01187</v>
      </c>
      <c r="B188" s="10">
        <f>IFERROR(DATEVALUE(messy_sales!B188), "Invalid Date")</f>
        <v>45778</v>
      </c>
      <c r="C188" s="9" t="str">
        <f>TRIM(messy_sales!C188)</f>
        <v>Outback Supplies</v>
      </c>
      <c r="D188" s="9" t="str">
        <f>UPPER(TRIM(messy_sales!D188))</f>
        <v>AU</v>
      </c>
      <c r="E188" s="9" t="str">
        <f>messy_sales!E188</f>
        <v>APAC</v>
      </c>
      <c r="F188" s="9" t="str">
        <f>messy_sales!F188</f>
        <v>Mid-Market</v>
      </c>
      <c r="G188" s="8">
        <f>IF(messy_sales!G188="", "Missing" , messy_sales!G188)</f>
        <v>4621.2</v>
      </c>
    </row>
    <row r="189">
      <c r="A189" s="9" t="str">
        <f>messy_sales!A189</f>
        <v>ORD-01188</v>
      </c>
      <c r="B189" s="10">
        <f>IFERROR(DATEVALUE(messy_sales!B189), "Invalid Date")</f>
        <v>45499</v>
      </c>
      <c r="C189" s="9" t="str">
        <f>TRIM(messy_sales!C189)</f>
        <v>Litware Systems</v>
      </c>
      <c r="D189" s="9" t="str">
        <f>UPPER(TRIM(messy_sales!D189))</f>
        <v>GB</v>
      </c>
      <c r="E189" s="9" t="str">
        <f>messy_sales!E189</f>
        <v>EMEA</v>
      </c>
      <c r="F189" s="9" t="str">
        <f>messy_sales!F189</f>
        <v>Enterprise</v>
      </c>
      <c r="G189" s="8">
        <f>IF(messy_sales!G189="", "Missing" , messy_sales!G189)</f>
        <v>31666.45</v>
      </c>
    </row>
    <row r="190">
      <c r="A190" s="9" t="str">
        <f>messy_sales!A190</f>
        <v>ORD-01189</v>
      </c>
      <c r="B190" s="10">
        <f>IFERROR(DATEVALUE(messy_sales!B190), "Invalid Date")</f>
        <v>45407</v>
      </c>
      <c r="C190" s="9" t="str">
        <f>TRIM(messy_sales!C190)</f>
        <v>Desert Trading LLC</v>
      </c>
      <c r="D190" s="9" t="str">
        <f>UPPER(TRIM(messy_sales!D190))</f>
        <v>AE</v>
      </c>
      <c r="E190" s="9" t="str">
        <f>messy_sales!E190</f>
        <v>EMEA</v>
      </c>
      <c r="F190" s="9" t="str">
        <f>messy_sales!F190</f>
        <v>Mid-Market</v>
      </c>
      <c r="G190" s="8">
        <f>IF(messy_sales!G190="", "Missing" , messy_sales!G190)</f>
        <v>3498.77</v>
      </c>
    </row>
    <row r="191">
      <c r="A191" s="9" t="str">
        <f>messy_sales!A191</f>
        <v>ORD-01190</v>
      </c>
      <c r="B191" s="10">
        <f>IFERROR(DATEVALUE(messy_sales!B191), "Invalid Date")</f>
        <v>45662</v>
      </c>
      <c r="C191" s="9" t="str">
        <f>TRIM(messy_sales!C191)</f>
        <v>Contoso Ltd</v>
      </c>
      <c r="D191" s="9" t="str">
        <f>UPPER(TRIM(messy_sales!D191))</f>
        <v>US</v>
      </c>
      <c r="E191" s="9" t="str">
        <f>messy_sales!E191</f>
        <v>North America</v>
      </c>
      <c r="F191" s="9" t="str">
        <f>messy_sales!F191</f>
        <v>Enterprise</v>
      </c>
      <c r="G191" s="8">
        <f>IF(messy_sales!G191="", "Missing" , messy_sales!G191)</f>
        <v>36637.36</v>
      </c>
    </row>
    <row r="192">
      <c r="A192" s="9" t="str">
        <f>messy_sales!A192</f>
        <v>ORD-01191</v>
      </c>
      <c r="B192" s="10">
        <f>IFERROR(DATEVALUE(messy_sales!B192), "Invalid Date")</f>
        <v>45779</v>
      </c>
      <c r="C192" s="9" t="str">
        <f>TRIM(messy_sales!C192)</f>
        <v>Maple Leaf Distributors</v>
      </c>
      <c r="D192" s="9" t="str">
        <f>UPPER(TRIM(messy_sales!D192))</f>
        <v>CA</v>
      </c>
      <c r="E192" s="9" t="str">
        <f>messy_sales!E192</f>
        <v>North America</v>
      </c>
      <c r="F192" s="9" t="str">
        <f>messy_sales!F192</f>
        <v>Enterprise</v>
      </c>
      <c r="G192" s="8">
        <f>IF(messy_sales!G192="", "Missing" , messy_sales!G192)</f>
        <v>10807.43</v>
      </c>
    </row>
    <row r="193">
      <c r="A193" s="9" t="str">
        <f>messy_sales!A193</f>
        <v>ORD-01192</v>
      </c>
      <c r="B193" s="10" t="str">
        <f>IFERROR(DATEVALUE(messy_sales!B193), "Invalid Date")</f>
        <v>Invalid Date</v>
      </c>
      <c r="C193" s="9" t="str">
        <f>TRIM(messy_sales!C193)</f>
        <v>Graphic Design Institute</v>
      </c>
      <c r="D193" s="9" t="str">
        <f>UPPER(TRIM(messy_sales!D193))</f>
        <v>GB</v>
      </c>
      <c r="E193" s="9" t="str">
        <f>messy_sales!E193</f>
        <v>EMEA</v>
      </c>
      <c r="F193" s="9" t="str">
        <f>messy_sales!F193</f>
        <v>SMB</v>
      </c>
      <c r="G193" s="8">
        <f>IF(messy_sales!G193="", "Missing" , messy_sales!G193)</f>
        <v>3052.43</v>
      </c>
    </row>
    <row r="194">
      <c r="A194" s="9" t="str">
        <f>messy_sales!A194</f>
        <v>ORD-01193</v>
      </c>
      <c r="B194" s="10">
        <f>IFERROR(DATEVALUE(messy_sales!B194), "Invalid Date")</f>
        <v>45591</v>
      </c>
      <c r="C194" s="9" t="str">
        <f>TRIM(messy_sales!C194)</f>
        <v>Lion City Traders</v>
      </c>
      <c r="D194" s="9" t="str">
        <f>UPPER(TRIM(messy_sales!D194))</f>
        <v>SG</v>
      </c>
      <c r="E194" s="9" t="str">
        <f>messy_sales!E194</f>
        <v>APAC</v>
      </c>
      <c r="F194" s="9" t="str">
        <f>messy_sales!F194</f>
        <v>Mid-Market</v>
      </c>
      <c r="G194" s="8">
        <f>IF(messy_sales!G194="", "Missing" , messy_sales!G194)</f>
        <v>3216.66</v>
      </c>
    </row>
    <row r="195">
      <c r="A195" s="9" t="str">
        <f>messy_sales!A195</f>
        <v>ORD-01194</v>
      </c>
      <c r="B195" s="10">
        <f>IFERROR(DATEVALUE(messy_sales!B195), "Invalid Date")</f>
        <v>45558</v>
      </c>
      <c r="C195" s="9" t="str">
        <f>TRIM(messy_sales!C195)</f>
        <v>Adventure Works</v>
      </c>
      <c r="D195" s="9" t="str">
        <f>UPPER(TRIM(messy_sales!D195))</f>
        <v>CA</v>
      </c>
      <c r="E195" s="9" t="str">
        <f>messy_sales!E195</f>
        <v>North America</v>
      </c>
      <c r="F195" s="9" t="str">
        <f>messy_sales!F195</f>
        <v>Mid-Market</v>
      </c>
      <c r="G195" s="8">
        <f>IF(messy_sales!G195="", "Missing" , messy_sales!G195)</f>
        <v>2913.49</v>
      </c>
    </row>
    <row r="196">
      <c r="A196" s="9" t="str">
        <f>messy_sales!A196</f>
        <v>ORD-01195</v>
      </c>
      <c r="B196" s="10">
        <f>IFERROR(DATEVALUE(messy_sales!B196), "Invalid Date")</f>
        <v>45783</v>
      </c>
      <c r="C196" s="9" t="str">
        <f>TRIM(messy_sales!C196)</f>
        <v>Nordwind Energie</v>
      </c>
      <c r="D196" s="9" t="str">
        <f>UPPER(TRIM(messy_sales!D196))</f>
        <v>DE</v>
      </c>
      <c r="E196" s="9" t="str">
        <f>messy_sales!E196</f>
        <v>EMEA</v>
      </c>
      <c r="F196" s="9" t="str">
        <f>messy_sales!F196</f>
        <v>Mid-Market</v>
      </c>
      <c r="G196" s="8">
        <f>IF(messy_sales!G196="", "Missing" , messy_sales!G196)</f>
        <v>6128.53</v>
      </c>
    </row>
    <row r="197">
      <c r="A197" s="9" t="str">
        <f>messy_sales!A197</f>
        <v>ORD-01196</v>
      </c>
      <c r="B197" s="10">
        <f>IFERROR(DATEVALUE(messy_sales!B197), "Invalid Date")</f>
        <v>45797</v>
      </c>
      <c r="C197" s="9" t="str">
        <f>TRIM(messy_sales!C197)</f>
        <v>Emirates Retail Group</v>
      </c>
      <c r="D197" s="9" t="str">
        <f>UPPER(TRIM(messy_sales!D197))</f>
        <v>AE</v>
      </c>
      <c r="E197" s="9" t="str">
        <f>messy_sales!E197</f>
        <v>EMEA</v>
      </c>
      <c r="F197" s="9" t="str">
        <f>messy_sales!F197</f>
        <v>Enterprise</v>
      </c>
      <c r="G197" s="8">
        <f>IF(messy_sales!G197="", "Missing" , messy_sales!G197)</f>
        <v>11729.5</v>
      </c>
    </row>
    <row r="198">
      <c r="A198" s="9" t="str">
        <f>messy_sales!A198</f>
        <v>ORD-01197</v>
      </c>
      <c r="B198" s="10">
        <f>IFERROR(DATEVALUE(messy_sales!B198), "Invalid Date")</f>
        <v>45826</v>
      </c>
      <c r="C198" s="9" t="str">
        <f>TRIM(messy_sales!C198)</f>
        <v>Marina Bay Retail</v>
      </c>
      <c r="D198" s="9" t="str">
        <f>UPPER(TRIM(messy_sales!D198))</f>
        <v>SG</v>
      </c>
      <c r="E198" s="9" t="str">
        <f>messy_sales!E198</f>
        <v>APAC</v>
      </c>
      <c r="F198" s="9" t="str">
        <f>messy_sales!F198</f>
        <v>Enterprise</v>
      </c>
      <c r="G198" s="8">
        <f>IF(messy_sales!G198="", "Missing" , messy_sales!G198)</f>
        <v>37911.88</v>
      </c>
    </row>
    <row r="199">
      <c r="A199" s="9" t="str">
        <f>messy_sales!A199</f>
        <v>ORD-01198</v>
      </c>
      <c r="B199" s="10">
        <f>IFERROR(DATEVALUE(messy_sales!B199), "Invalid Date")</f>
        <v>45780</v>
      </c>
      <c r="C199" s="9" t="str">
        <f>TRIM(messy_sales!C199)</f>
        <v>Alpine Ski House</v>
      </c>
      <c r="D199" s="9" t="str">
        <f>UPPER(TRIM(messy_sales!D199))</f>
        <v>DE</v>
      </c>
      <c r="E199" s="9" t="str">
        <f>messy_sales!E199</f>
        <v>EMEA</v>
      </c>
      <c r="F199" s="9" t="str">
        <f>messy_sales!F199</f>
        <v>SMB</v>
      </c>
      <c r="G199" s="8">
        <f>IF(messy_sales!G199="", "Missing" , messy_sales!G199)</f>
        <v>827.07</v>
      </c>
    </row>
    <row r="200">
      <c r="A200" s="9" t="str">
        <f>messy_sales!A200</f>
        <v>ORD-01199</v>
      </c>
      <c r="B200" s="10">
        <f>IFERROR(DATEVALUE(messy_sales!B200), "Invalid Date")</f>
        <v>45522</v>
      </c>
      <c r="C200" s="9" t="str">
        <f>TRIM(messy_sales!C200)</f>
        <v>Fabrikam Inc</v>
      </c>
      <c r="D200" s="9" t="str">
        <f>UPPER(TRIM(messy_sales!D200))</f>
        <v>US</v>
      </c>
      <c r="E200" s="9" t="str">
        <f>messy_sales!E200</f>
        <v>North America</v>
      </c>
      <c r="F200" s="9" t="str">
        <f>messy_sales!F200</f>
        <v>Mid-Market</v>
      </c>
      <c r="G200" s="8">
        <f>IF(messy_sales!G200="", "Missing" , messy_sales!G200)</f>
        <v>7341.35</v>
      </c>
    </row>
    <row r="201">
      <c r="A201" s="9" t="str">
        <f>messy_sales!A201</f>
        <v>ORD-01200</v>
      </c>
      <c r="B201" s="10">
        <f>IFERROR(DATEVALUE(messy_sales!B201), "Invalid Date")</f>
        <v>45427</v>
      </c>
      <c r="C201" s="9" t="str">
        <f>TRIM(messy_sales!C201)</f>
        <v>Northwind Traders</v>
      </c>
      <c r="D201" s="9" t="str">
        <f>UPPER(TRIM(messy_sales!D201))</f>
        <v>US</v>
      </c>
      <c r="E201" s="9" t="str">
        <f>messy_sales!E201</f>
        <v>North America</v>
      </c>
      <c r="F201" s="9" t="str">
        <f>messy_sales!F201</f>
        <v>Enterprise</v>
      </c>
      <c r="G201" s="8">
        <f>IF(messy_sales!G201="", "Missing" , messy_sales!G201)</f>
        <v>29692.57</v>
      </c>
    </row>
    <row r="202">
      <c r="A202" s="9" t="str">
        <f>messy_sales!A202</f>
        <v>ORD-01201</v>
      </c>
      <c r="B202" s="10">
        <f>IFERROR(DATEVALUE(messy_sales!B202), "Invalid Date")</f>
        <v>45549</v>
      </c>
      <c r="C202" s="9" t="str">
        <f>TRIM(messy_sales!C202)</f>
        <v>Maple Leaf Distributors</v>
      </c>
      <c r="D202" s="9" t="str">
        <f>UPPER(TRIM(messy_sales!D202))</f>
        <v>CA</v>
      </c>
      <c r="E202" s="9" t="str">
        <f>messy_sales!E202</f>
        <v>North America</v>
      </c>
      <c r="F202" s="9" t="str">
        <f>messy_sales!F202</f>
        <v>Enterprise</v>
      </c>
      <c r="G202" s="8">
        <f>IF(messy_sales!G202="", "Missing" , messy_sales!G202)</f>
        <v>21152.45</v>
      </c>
    </row>
    <row r="203">
      <c r="A203" s="9" t="str">
        <f>messy_sales!A203</f>
        <v>ORD-01202</v>
      </c>
      <c r="B203" s="10">
        <f>IFERROR(DATEVALUE(messy_sales!B203), "Invalid Date")</f>
        <v>45327</v>
      </c>
      <c r="C203" s="9" t="str">
        <f>TRIM(messy_sales!C203)</f>
        <v>Tailspin Toys</v>
      </c>
      <c r="D203" s="9" t="str">
        <f>UPPER(TRIM(messy_sales!D203))</f>
        <v>CA</v>
      </c>
      <c r="E203" s="9" t="str">
        <f>messy_sales!E203</f>
        <v>North America</v>
      </c>
      <c r="F203" s="9" t="str">
        <f>messy_sales!F203</f>
        <v>SMB</v>
      </c>
      <c r="G203" s="8">
        <f>IF(messy_sales!G203="", "Missing" , messy_sales!G203)</f>
        <v>2124.25</v>
      </c>
    </row>
    <row r="204">
      <c r="A204" s="9" t="str">
        <f>messy_sales!A204</f>
        <v>ORD-01203</v>
      </c>
      <c r="B204" s="10">
        <f>IFERROR(DATEVALUE(messy_sales!B204), "Invalid Date")</f>
        <v>45342</v>
      </c>
      <c r="C204" s="9" t="str">
        <f>TRIM(messy_sales!C204)</f>
        <v>Tailspin Toys</v>
      </c>
      <c r="D204" s="9" t="str">
        <f>UPPER(TRIM(messy_sales!D204))</f>
        <v>CA</v>
      </c>
      <c r="E204" s="9" t="str">
        <f>messy_sales!E204</f>
        <v>North America</v>
      </c>
      <c r="F204" s="9" t="str">
        <f>messy_sales!F204</f>
        <v>SMB</v>
      </c>
      <c r="G204" s="8">
        <f>IF(messy_sales!G204="", "Missing" , messy_sales!G204)</f>
        <v>1297.55</v>
      </c>
    </row>
    <row r="205">
      <c r="A205" s="9" t="str">
        <f>messy_sales!A205</f>
        <v>ORD-01204</v>
      </c>
      <c r="B205" s="10">
        <f>IFERROR(DATEVALUE(messy_sales!B205), "Invalid Date")</f>
        <v>45347</v>
      </c>
      <c r="C205" s="9" t="str">
        <f>TRIM(messy_sales!C205)</f>
        <v>Mumbai Fresh Foods</v>
      </c>
      <c r="D205" s="9" t="str">
        <f>UPPER(TRIM(messy_sales!D205))</f>
        <v>IN</v>
      </c>
      <c r="E205" s="9" t="str">
        <f>messy_sales!E205</f>
        <v>APAC</v>
      </c>
      <c r="F205" s="9" t="str">
        <f>messy_sales!F205</f>
        <v>SMB</v>
      </c>
      <c r="G205" s="8">
        <f>IF(messy_sales!G205="", "Missing" , messy_sales!G205)</f>
        <v>2669.88</v>
      </c>
    </row>
    <row r="206">
      <c r="A206" s="9" t="str">
        <f>messy_sales!A206</f>
        <v>ORD-01205</v>
      </c>
      <c r="B206" s="10">
        <f>IFERROR(DATEVALUE(messy_sales!B206), "Invalid Date")</f>
        <v>45530</v>
      </c>
      <c r="C206" s="9" t="str">
        <f>TRIM(messy_sales!C206)</f>
        <v>Sydney Harbour Goods</v>
      </c>
      <c r="D206" s="9" t="str">
        <f>UPPER(TRIM(messy_sales!D206))</f>
        <v>AU</v>
      </c>
      <c r="E206" s="9" t="str">
        <f>messy_sales!E206</f>
        <v>APAC</v>
      </c>
      <c r="F206" s="9" t="str">
        <f>messy_sales!F206</f>
        <v>SMB</v>
      </c>
      <c r="G206" s="8">
        <f>IF(messy_sales!G206="", "Missing" , messy_sales!G206)</f>
        <v>2230.48</v>
      </c>
    </row>
    <row r="207">
      <c r="A207" s="9" t="str">
        <f>messy_sales!A207</f>
        <v>ORD-01206</v>
      </c>
      <c r="B207" s="10">
        <f>IFERROR(DATEVALUE(messy_sales!B207), "Invalid Date")</f>
        <v>45519</v>
      </c>
      <c r="C207" s="9" t="str">
        <f>TRIM(messy_sales!C207)</f>
        <v>Delhi Textiles</v>
      </c>
      <c r="D207" s="9" t="str">
        <f>UPPER(TRIM(messy_sales!D207))</f>
        <v>IN</v>
      </c>
      <c r="E207" s="9" t="str">
        <f>messy_sales!E207</f>
        <v>APAC</v>
      </c>
      <c r="F207" s="9" t="str">
        <f>messy_sales!F207</f>
        <v>SMB</v>
      </c>
      <c r="G207" s="8">
        <f>IF(messy_sales!G207="", "Missing" , messy_sales!G207)</f>
        <v>357.18</v>
      </c>
    </row>
    <row r="208">
      <c r="A208" s="9" t="str">
        <f>messy_sales!A208</f>
        <v>ORD-01207</v>
      </c>
      <c r="B208" s="10">
        <f>IFERROR(DATEVALUE(messy_sales!B208), "Invalid Date")</f>
        <v>45753</v>
      </c>
      <c r="C208" s="9" t="str">
        <f>TRIM(messy_sales!C208)</f>
        <v>Lion City Traders</v>
      </c>
      <c r="D208" s="9" t="str">
        <f>UPPER(TRIM(messy_sales!D208))</f>
        <v>SG</v>
      </c>
      <c r="E208" s="9" t="str">
        <f>messy_sales!E208</f>
        <v>APAC</v>
      </c>
      <c r="F208" s="9" t="str">
        <f>messy_sales!F208</f>
        <v>Mid-Market</v>
      </c>
      <c r="G208" s="8">
        <f>IF(messy_sales!G208="", "Missing" , messy_sales!G208)</f>
        <v>2655.12</v>
      </c>
    </row>
    <row r="209">
      <c r="A209" s="9" t="str">
        <f>messy_sales!A209</f>
        <v>ORD-01208</v>
      </c>
      <c r="B209" s="10">
        <f>IFERROR(DATEVALUE(messy_sales!B209), "Invalid Date")</f>
        <v>45675</v>
      </c>
      <c r="C209" s="9" t="str">
        <f>TRIM(messy_sales!C209)</f>
        <v>Mumbai Fresh Foods</v>
      </c>
      <c r="D209" s="9" t="str">
        <f>UPPER(TRIM(messy_sales!D209))</f>
        <v>IN</v>
      </c>
      <c r="E209" s="9" t="str">
        <f>messy_sales!E209</f>
        <v>APAC</v>
      </c>
      <c r="F209" s="9" t="str">
        <f>messy_sales!F209</f>
        <v>SMB</v>
      </c>
      <c r="G209" s="8">
        <f>IF(messy_sales!G209="", "Missing" , messy_sales!G209)</f>
        <v>986.77</v>
      </c>
    </row>
    <row r="210">
      <c r="A210" s="9" t="str">
        <f>messy_sales!A210</f>
        <v>ORD-01209</v>
      </c>
      <c r="B210" s="10">
        <f>IFERROR(DATEVALUE(messy_sales!B210), "Invalid Date")</f>
        <v>45597</v>
      </c>
      <c r="C210" s="9" t="str">
        <f>TRIM(messy_sales!C210)</f>
        <v>Pacific Northwest Co</v>
      </c>
      <c r="D210" s="9" t="str">
        <f>UPPER(TRIM(messy_sales!D210))</f>
        <v>US</v>
      </c>
      <c r="E210" s="9" t="str">
        <f>messy_sales!E210</f>
        <v>North America</v>
      </c>
      <c r="F210" s="9" t="str">
        <f>messy_sales!F210</f>
        <v>Mid-Market</v>
      </c>
      <c r="G210" s="8">
        <f>IF(messy_sales!G210="", "Missing" , messy_sales!G210)</f>
        <v>3955.88</v>
      </c>
    </row>
    <row r="211">
      <c r="A211" s="9" t="str">
        <f>messy_sales!A211</f>
        <v>ORD-01210</v>
      </c>
      <c r="B211" s="10">
        <f>IFERROR(DATEVALUE(messy_sales!B211), "Invalid Date")</f>
        <v>45546</v>
      </c>
      <c r="C211" s="9" t="str">
        <f>TRIM(messy_sales!C211)</f>
        <v>Northwind Traders</v>
      </c>
      <c r="D211" s="9" t="str">
        <f>UPPER(TRIM(messy_sales!D211))</f>
        <v>US</v>
      </c>
      <c r="E211" s="9" t="str">
        <f>messy_sales!E211</f>
        <v>North America</v>
      </c>
      <c r="F211" s="9" t="str">
        <f>messy_sales!F211</f>
        <v>Enterprise</v>
      </c>
      <c r="G211" s="8">
        <f>IF(messy_sales!G211="", "Missing" , messy_sales!G211)</f>
        <v>13685.2</v>
      </c>
    </row>
    <row r="212">
      <c r="A212" s="9" t="str">
        <f>messy_sales!A212</f>
        <v>ORD-01211</v>
      </c>
      <c r="B212" s="10">
        <f>IFERROR(DATEVALUE(messy_sales!B212), "Invalid Date")</f>
        <v>45614</v>
      </c>
      <c r="C212" s="9" t="str">
        <f>TRIM(messy_sales!C212)</f>
        <v>Hanseatic Imports</v>
      </c>
      <c r="D212" s="9" t="str">
        <f>UPPER(TRIM(messy_sales!D212))</f>
        <v>DE</v>
      </c>
      <c r="E212" s="9" t="str">
        <f>messy_sales!E212</f>
        <v>EMEA</v>
      </c>
      <c r="F212" s="9" t="str">
        <f>messy_sales!F212</f>
        <v>SMB</v>
      </c>
      <c r="G212" s="8">
        <f>IF(messy_sales!G212="", "Missing" , messy_sales!G212)</f>
        <v>1516.14</v>
      </c>
    </row>
    <row r="213">
      <c r="A213" s="9" t="str">
        <f>messy_sales!A213</f>
        <v>ORD-01212</v>
      </c>
      <c r="B213" s="10">
        <f>IFERROR(DATEVALUE(messy_sales!B213), "Invalid Date")</f>
        <v>45480</v>
      </c>
      <c r="C213" s="9" t="str">
        <f>TRIM(messy_sales!C213)</f>
        <v>Desert Trading LLC</v>
      </c>
      <c r="D213" s="9" t="str">
        <f>UPPER(TRIM(messy_sales!D213))</f>
        <v>AE</v>
      </c>
      <c r="E213" s="9" t="str">
        <f>messy_sales!E213</f>
        <v>EMEA</v>
      </c>
      <c r="F213" s="9" t="str">
        <f>messy_sales!F213</f>
        <v>Mid-Market</v>
      </c>
      <c r="G213" s="8">
        <f>IF(messy_sales!G213="", "Missing" , messy_sales!G213)</f>
        <v>2941.33</v>
      </c>
    </row>
    <row r="214">
      <c r="A214" s="9" t="str">
        <f>messy_sales!A214</f>
        <v>ORD-01213</v>
      </c>
      <c r="B214" s="10">
        <f>IFERROR(DATEVALUE(messy_sales!B214), "Invalid Date")</f>
        <v>45545</v>
      </c>
      <c r="C214" s="9" t="str">
        <f>TRIM(messy_sales!C214)</f>
        <v>Nordwind Energie</v>
      </c>
      <c r="D214" s="9" t="str">
        <f>UPPER(TRIM(messy_sales!D214))</f>
        <v>DE</v>
      </c>
      <c r="E214" s="9" t="str">
        <f>messy_sales!E214</f>
        <v>EMEA</v>
      </c>
      <c r="F214" s="9" t="str">
        <f>messy_sales!F214</f>
        <v>Mid-Market</v>
      </c>
      <c r="G214" s="8">
        <f>IF(messy_sales!G214="", "Missing" , messy_sales!G214)</f>
        <v>10557.97</v>
      </c>
    </row>
    <row r="215">
      <c r="A215" s="9" t="str">
        <f>messy_sales!A215</f>
        <v>ORD-01214</v>
      </c>
      <c r="B215" s="10">
        <f>IFERROR(DATEVALUE(messy_sales!B215), "Invalid Date")</f>
        <v>45675</v>
      </c>
      <c r="C215" s="9" t="str">
        <f>TRIM(messy_sales!C215)</f>
        <v>Desert Trading LLC</v>
      </c>
      <c r="D215" s="9" t="str">
        <f>UPPER(TRIM(messy_sales!D215))</f>
        <v>AE</v>
      </c>
      <c r="E215" s="9" t="str">
        <f>messy_sales!E215</f>
        <v>EMEA</v>
      </c>
      <c r="F215" s="9" t="str">
        <f>messy_sales!F215</f>
        <v>Mid-Market</v>
      </c>
      <c r="G215" s="8">
        <f>IF(messy_sales!G215="", "Missing" , messy_sales!G215)</f>
        <v>7111.23</v>
      </c>
    </row>
    <row r="216">
      <c r="A216" s="9" t="str">
        <f>messy_sales!A216</f>
        <v>ORD-01215</v>
      </c>
      <c r="B216" s="10">
        <f>IFERROR(DATEVALUE(messy_sales!B216), "Invalid Date")</f>
        <v>45305</v>
      </c>
      <c r="C216" s="9" t="str">
        <f>TRIM(messy_sales!C216)</f>
        <v>Hanseatic Imports</v>
      </c>
      <c r="D216" s="9" t="str">
        <f>UPPER(TRIM(messy_sales!D216))</f>
        <v>DE</v>
      </c>
      <c r="E216" s="9" t="str">
        <f>messy_sales!E216</f>
        <v>EMEA</v>
      </c>
      <c r="F216" s="9" t="str">
        <f>messy_sales!F216</f>
        <v>SMB</v>
      </c>
      <c r="G216" s="8">
        <f>IF(messy_sales!G216="", "Missing" , messy_sales!G216)</f>
        <v>886.57</v>
      </c>
    </row>
    <row r="217">
      <c r="A217" s="9" t="str">
        <f>messy_sales!A217</f>
        <v>ORD-01216</v>
      </c>
      <c r="B217" s="10">
        <f>IFERROR(DATEVALUE(messy_sales!B217), "Invalid Date")</f>
        <v>45323</v>
      </c>
      <c r="C217" s="9" t="str">
        <f>TRIM(messy_sales!C217)</f>
        <v>Bengaluru Softworks</v>
      </c>
      <c r="D217" s="9" t="str">
        <f>UPPER(TRIM(messy_sales!D217))</f>
        <v>IN</v>
      </c>
      <c r="E217" s="9" t="str">
        <f>messy_sales!E217</f>
        <v>APAC</v>
      </c>
      <c r="F217" s="9" t="str">
        <f>messy_sales!F217</f>
        <v>Mid-Market</v>
      </c>
      <c r="G217" s="8">
        <f>IF(messy_sales!G217="", "Missing" , messy_sales!G217)</f>
        <v>7595.4</v>
      </c>
    </row>
    <row r="218">
      <c r="A218" s="9" t="str">
        <f>messy_sales!A218</f>
        <v>ORD-01217</v>
      </c>
      <c r="B218" s="10">
        <f>IFERROR(DATEVALUE(messy_sales!B218), "Invalid Date")</f>
        <v>45777</v>
      </c>
      <c r="C218" s="9" t="str">
        <f>TRIM(messy_sales!C218)</f>
        <v>Mumbai Fresh Foods</v>
      </c>
      <c r="D218" s="9" t="str">
        <f>UPPER(TRIM(messy_sales!D218))</f>
        <v>IN</v>
      </c>
      <c r="E218" s="9" t="str">
        <f>messy_sales!E218</f>
        <v>APAC</v>
      </c>
      <c r="F218" s="9" t="str">
        <f>messy_sales!F218</f>
        <v>SMB</v>
      </c>
      <c r="G218" s="8">
        <f>IF(messy_sales!G218="", "Missing" , messy_sales!G218)</f>
        <v>2843.85</v>
      </c>
    </row>
    <row r="219">
      <c r="A219" s="9" t="str">
        <f>messy_sales!A219</f>
        <v>ORD-01218</v>
      </c>
      <c r="B219" s="10">
        <f>IFERROR(DATEVALUE(messy_sales!B219), "Invalid Date")</f>
        <v>45684</v>
      </c>
      <c r="C219" s="9" t="str">
        <f>TRIM(messy_sales!C219)</f>
        <v>Wide World Importers</v>
      </c>
      <c r="D219" s="9" t="str">
        <f>UPPER(TRIM(messy_sales!D219))</f>
        <v>GB</v>
      </c>
      <c r="E219" s="9" t="str">
        <f>messy_sales!E219</f>
        <v>EMEA</v>
      </c>
      <c r="F219" s="9" t="str">
        <f>messy_sales!F219</f>
        <v>Mid-Market</v>
      </c>
      <c r="G219" s="8">
        <f>IF(messy_sales!G219="", "Missing" , messy_sales!G219)</f>
        <v>7622.36</v>
      </c>
    </row>
    <row r="220">
      <c r="A220" s="9" t="str">
        <f>messy_sales!A220</f>
        <v>ORD-01219</v>
      </c>
      <c r="B220" s="10">
        <f>IFERROR(DATEVALUE(messy_sales!B220), "Invalid Date")</f>
        <v>45822</v>
      </c>
      <c r="C220" s="9" t="str">
        <f>TRIM(messy_sales!C220)</f>
        <v>Bengaluru Softworks</v>
      </c>
      <c r="D220" s="9" t="str">
        <f>UPPER(TRIM(messy_sales!D220))</f>
        <v>IN</v>
      </c>
      <c r="E220" s="9" t="str">
        <f>messy_sales!E220</f>
        <v>APAC</v>
      </c>
      <c r="F220" s="9" t="str">
        <f>messy_sales!F220</f>
        <v>Mid-Market</v>
      </c>
      <c r="G220" s="8">
        <f>IF(messy_sales!G220="", "Missing" , messy_sales!G220)</f>
        <v>10492.83</v>
      </c>
    </row>
    <row r="221">
      <c r="A221" s="9" t="str">
        <f>messy_sales!A221</f>
        <v>ORD-01220</v>
      </c>
      <c r="B221" s="10">
        <f>IFERROR(DATEVALUE(messy_sales!B221), "Invalid Date")</f>
        <v>45662</v>
      </c>
      <c r="C221" s="9" t="str">
        <f>TRIM(messy_sales!C221)</f>
        <v>Tailspin Toys</v>
      </c>
      <c r="D221" s="9" t="str">
        <f>UPPER(TRIM(messy_sales!D221))</f>
        <v>CA</v>
      </c>
      <c r="E221" s="9" t="str">
        <f>messy_sales!E221</f>
        <v>North America</v>
      </c>
      <c r="F221" s="9" t="str">
        <f>messy_sales!F221</f>
        <v>SMB</v>
      </c>
      <c r="G221" s="8">
        <f>IF(messy_sales!G221="", "Missing" , messy_sales!G221)</f>
        <v>3080.11</v>
      </c>
    </row>
    <row r="222">
      <c r="A222" s="9" t="str">
        <f>messy_sales!A222</f>
        <v>ORD-01221</v>
      </c>
      <c r="B222" s="10" t="str">
        <f>IFERROR(DATEVALUE(messy_sales!B222), "Invalid Date")</f>
        <v>Invalid Date</v>
      </c>
      <c r="C222" s="9" t="str">
        <f>TRIM(messy_sales!C222)</f>
        <v>Marina Bay Retail</v>
      </c>
      <c r="D222" s="9" t="str">
        <f>UPPER(TRIM(messy_sales!D222))</f>
        <v>SG</v>
      </c>
      <c r="E222" s="9" t="str">
        <f>messy_sales!E222</f>
        <v>APAC</v>
      </c>
      <c r="F222" s="9" t="str">
        <f>messy_sales!F222</f>
        <v>Enterprise</v>
      </c>
      <c r="G222" s="8">
        <f>IF(messy_sales!G222="", "Missing" , messy_sales!G222)</f>
        <v>18120.28</v>
      </c>
    </row>
    <row r="223">
      <c r="A223" s="9" t="str">
        <f>messy_sales!A223</f>
        <v>ORD-01222</v>
      </c>
      <c r="B223" s="10">
        <f>IFERROR(DATEVALUE(messy_sales!B223), "Invalid Date")</f>
        <v>45482</v>
      </c>
      <c r="C223" s="9" t="str">
        <f>TRIM(messy_sales!C223)</f>
        <v>Gulf Logistics</v>
      </c>
      <c r="D223" s="9" t="str">
        <f>UPPER(TRIM(messy_sales!D223))</f>
        <v>AE</v>
      </c>
      <c r="E223" s="9" t="str">
        <f>messy_sales!E223</f>
        <v>EMEA</v>
      </c>
      <c r="F223" s="9" t="str">
        <f>messy_sales!F223</f>
        <v>Enterprise</v>
      </c>
      <c r="G223" s="8">
        <f>IF(messy_sales!G223="", "Missing" , messy_sales!G223)</f>
        <v>36044.07</v>
      </c>
    </row>
    <row r="224">
      <c r="A224" s="9" t="str">
        <f>messy_sales!A224</f>
        <v>ORD-01223</v>
      </c>
      <c r="B224" s="10">
        <f>IFERROR(DATEVALUE(messy_sales!B224), "Invalid Date")</f>
        <v>45609</v>
      </c>
      <c r="C224" s="9" t="str">
        <f>TRIM(messy_sales!C224)</f>
        <v>Outback Supplies</v>
      </c>
      <c r="D224" s="9" t="str">
        <f>UPPER(TRIM(messy_sales!D224))</f>
        <v>AU</v>
      </c>
      <c r="E224" s="9" t="str">
        <f>messy_sales!E224</f>
        <v>APAC</v>
      </c>
      <c r="F224" s="9" t="str">
        <f>messy_sales!F224</f>
        <v>Mid-Market</v>
      </c>
      <c r="G224" s="8">
        <f>IF(messy_sales!G224="", "Missing" , messy_sales!G224)</f>
        <v>8634.23</v>
      </c>
    </row>
    <row r="225">
      <c r="A225" s="9" t="str">
        <f>messy_sales!A225</f>
        <v>ORD-01224</v>
      </c>
      <c r="B225" s="10">
        <f>IFERROR(DATEVALUE(messy_sales!B225), "Invalid Date")</f>
        <v>45353</v>
      </c>
      <c r="C225" s="9" t="str">
        <f>TRIM(messy_sales!C225)</f>
        <v>Hanseatic Imports</v>
      </c>
      <c r="D225" s="9" t="str">
        <f>UPPER(TRIM(messy_sales!D225))</f>
        <v>DE</v>
      </c>
      <c r="E225" s="9" t="str">
        <f>messy_sales!E225</f>
        <v>EMEA</v>
      </c>
      <c r="F225" s="9" t="str">
        <f>messy_sales!F225</f>
        <v>SMB</v>
      </c>
      <c r="G225" s="8">
        <f>IF(messy_sales!G225="", "Missing" , messy_sales!G225)</f>
        <v>870.84</v>
      </c>
    </row>
    <row r="226">
      <c r="A226" s="9" t="str">
        <f>messy_sales!A226</f>
        <v>ORD-01225</v>
      </c>
      <c r="B226" s="10">
        <f>IFERROR(DATEVALUE(messy_sales!B226), "Invalid Date")</f>
        <v>45828</v>
      </c>
      <c r="C226" s="9" t="str">
        <f>TRIM(messy_sales!C226)</f>
        <v>Marina Bay Retail</v>
      </c>
      <c r="D226" s="9" t="str">
        <f>UPPER(TRIM(messy_sales!D226))</f>
        <v>SG</v>
      </c>
      <c r="E226" s="9" t="str">
        <f>messy_sales!E226</f>
        <v>APAC</v>
      </c>
      <c r="F226" s="9" t="str">
        <f>messy_sales!F226</f>
        <v>Enterprise</v>
      </c>
      <c r="G226" s="8">
        <f>IF(messy_sales!G226="", "Missing" , messy_sales!G226)</f>
        <v>22860.33</v>
      </c>
    </row>
    <row r="227">
      <c r="A227" s="9" t="str">
        <f>messy_sales!A227</f>
        <v>ORD-01226</v>
      </c>
      <c r="B227" s="10">
        <f>IFERROR(DATEVALUE(messy_sales!B227), "Invalid Date")</f>
        <v>45308</v>
      </c>
      <c r="C227" s="9" t="str">
        <f>TRIM(messy_sales!C227)</f>
        <v>Gulf Logistics</v>
      </c>
      <c r="D227" s="9" t="str">
        <f>UPPER(TRIM(messy_sales!D227))</f>
        <v>AE</v>
      </c>
      <c r="E227" s="9" t="str">
        <f>messy_sales!E227</f>
        <v>EMEA</v>
      </c>
      <c r="F227" s="9" t="str">
        <f>messy_sales!F227</f>
        <v>Enterprise</v>
      </c>
      <c r="G227" s="8">
        <f>IF(messy_sales!G227="", "Missing" , messy_sales!G227)</f>
        <v>16455.67</v>
      </c>
    </row>
    <row r="228">
      <c r="A228" s="9" t="str">
        <f>messy_sales!A228</f>
        <v>ORD-01227</v>
      </c>
      <c r="B228" s="10">
        <f>IFERROR(DATEVALUE(messy_sales!B228), "Invalid Date")</f>
        <v>45619</v>
      </c>
      <c r="C228" s="9" t="str">
        <f>TRIM(messy_sales!C228)</f>
        <v>Northwind Traders</v>
      </c>
      <c r="D228" s="9" t="str">
        <f>UPPER(TRIM(messy_sales!D228))</f>
        <v>US</v>
      </c>
      <c r="E228" s="9" t="str">
        <f>messy_sales!E228</f>
        <v>North America</v>
      </c>
      <c r="F228" s="9" t="str">
        <f>messy_sales!F228</f>
        <v>Enterprise</v>
      </c>
      <c r="G228" s="8">
        <f>IF(messy_sales!G228="", "Missing" , messy_sales!G228)</f>
        <v>35860.61</v>
      </c>
    </row>
    <row r="229">
      <c r="A229" s="9" t="str">
        <f>messy_sales!A229</f>
        <v>ORD-01228</v>
      </c>
      <c r="B229" s="10">
        <f>IFERROR(DATEVALUE(messy_sales!B229), "Invalid Date")</f>
        <v>45533</v>
      </c>
      <c r="C229" s="9" t="str">
        <f>TRIM(messy_sales!C229)</f>
        <v>Gulf Logistics</v>
      </c>
      <c r="D229" s="9" t="str">
        <f>UPPER(TRIM(messy_sales!D229))</f>
        <v>AE</v>
      </c>
      <c r="E229" s="9" t="str">
        <f>messy_sales!E229</f>
        <v>EMEA</v>
      </c>
      <c r="F229" s="9" t="str">
        <f>messy_sales!F229</f>
        <v>Enterprise</v>
      </c>
      <c r="G229" s="8">
        <f>IF(messy_sales!G229="", "Missing" , messy_sales!G229)</f>
        <v>25988.71</v>
      </c>
    </row>
    <row r="230">
      <c r="A230" s="9" t="str">
        <f>messy_sales!A230</f>
        <v>ORD-01229</v>
      </c>
      <c r="B230" s="10">
        <f>IFERROR(DATEVALUE(messy_sales!B230), "Invalid Date")</f>
        <v>45337</v>
      </c>
      <c r="C230" s="9" t="str">
        <f>TRIM(messy_sales!C230)</f>
        <v>Blue Yonder Airlines</v>
      </c>
      <c r="D230" s="9" t="str">
        <f>UPPER(TRIM(messy_sales!D230))</f>
        <v>US</v>
      </c>
      <c r="E230" s="9" t="str">
        <f>messy_sales!E230</f>
        <v>North America</v>
      </c>
      <c r="F230" s="9" t="str">
        <f>messy_sales!F230</f>
        <v>Enterprise</v>
      </c>
      <c r="G230" s="8">
        <f>IF(messy_sales!G230="", "Missing" , messy_sales!G230)</f>
        <v>11020.28</v>
      </c>
    </row>
    <row r="231">
      <c r="A231" s="9" t="str">
        <f>messy_sales!A231</f>
        <v>ORD-01230</v>
      </c>
      <c r="B231" s="10">
        <f>IFERROR(DATEVALUE(messy_sales!B231), "Invalid Date")</f>
        <v>45441</v>
      </c>
      <c r="C231" s="9" t="str">
        <f>TRIM(messy_sales!C231)</f>
        <v>Wide World Importers</v>
      </c>
      <c r="D231" s="9" t="str">
        <f>UPPER(TRIM(messy_sales!D231))</f>
        <v>GB</v>
      </c>
      <c r="E231" s="9" t="str">
        <f>messy_sales!E231</f>
        <v>EMEA</v>
      </c>
      <c r="F231" s="9" t="str">
        <f>messy_sales!F231</f>
        <v>Mid-Market</v>
      </c>
      <c r="G231" s="8">
        <f>IF(messy_sales!G231="", "Missing" , messy_sales!G231)</f>
        <v>3342.8</v>
      </c>
    </row>
    <row r="232">
      <c r="A232" s="9" t="str">
        <f>messy_sales!A232</f>
        <v>ORD-01231</v>
      </c>
      <c r="B232" s="10">
        <f>IFERROR(DATEVALUE(messy_sales!B232), "Invalid Date")</f>
        <v>45552</v>
      </c>
      <c r="C232" s="9" t="str">
        <f>TRIM(messy_sales!C232)</f>
        <v>Litware Systems</v>
      </c>
      <c r="D232" s="9" t="str">
        <f>UPPER(TRIM(messy_sales!D232))</f>
        <v>GB</v>
      </c>
      <c r="E232" s="9" t="str">
        <f>messy_sales!E232</f>
        <v>EMEA</v>
      </c>
      <c r="F232" s="9" t="str">
        <f>messy_sales!F232</f>
        <v>Enterprise</v>
      </c>
      <c r="G232" s="8">
        <f>IF(messy_sales!G232="", "Missing" , messy_sales!G232)</f>
        <v>27541.02</v>
      </c>
    </row>
    <row r="233">
      <c r="A233" s="9" t="str">
        <f>messy_sales!A233</f>
        <v>ORD-01232</v>
      </c>
      <c r="B233" s="10">
        <f>IFERROR(DATEVALUE(messy_sales!B233), "Invalid Date")</f>
        <v>45768</v>
      </c>
      <c r="C233" s="9" t="str">
        <f>TRIM(messy_sales!C233)</f>
        <v>Outback Supplies</v>
      </c>
      <c r="D233" s="9" t="str">
        <f>UPPER(TRIM(messy_sales!D233))</f>
        <v>AU</v>
      </c>
      <c r="E233" s="9" t="str">
        <f>messy_sales!E233</f>
        <v>APAC</v>
      </c>
      <c r="F233" s="9" t="str">
        <f>messy_sales!F233</f>
        <v>Mid-Market</v>
      </c>
      <c r="G233" s="8">
        <f>IF(messy_sales!G233="", "Missing" , messy_sales!G233)</f>
        <v>9667.5</v>
      </c>
    </row>
    <row r="234">
      <c r="A234" s="9" t="str">
        <f>messy_sales!A234</f>
        <v>ORD-01233</v>
      </c>
      <c r="B234" s="10">
        <f>IFERROR(DATEVALUE(messy_sales!B234), "Invalid Date")</f>
        <v>45382</v>
      </c>
      <c r="C234" s="9" t="str">
        <f>TRIM(messy_sales!C234)</f>
        <v>Desert Trading LLC</v>
      </c>
      <c r="D234" s="9" t="str">
        <f>UPPER(TRIM(messy_sales!D234))</f>
        <v>AE</v>
      </c>
      <c r="E234" s="9" t="str">
        <f>messy_sales!E234</f>
        <v>EMEA</v>
      </c>
      <c r="F234" s="9" t="str">
        <f>messy_sales!F234</f>
        <v>Mid-Market</v>
      </c>
      <c r="G234" s="8">
        <f>IF(messy_sales!G234="", "Missing" , messy_sales!G234)</f>
        <v>9722.15</v>
      </c>
    </row>
    <row r="235">
      <c r="A235" s="9" t="str">
        <f>messy_sales!A235</f>
        <v>ORD-01234</v>
      </c>
      <c r="B235" s="10">
        <f>IFERROR(DATEVALUE(messy_sales!B235), "Invalid Date")</f>
        <v>45570</v>
      </c>
      <c r="C235" s="9" t="str">
        <f>TRIM(messy_sales!C235)</f>
        <v>Litware Systems</v>
      </c>
      <c r="D235" s="9" t="str">
        <f>UPPER(TRIM(messy_sales!D235))</f>
        <v>GB</v>
      </c>
      <c r="E235" s="9" t="str">
        <f>messy_sales!E235</f>
        <v>EMEA</v>
      </c>
      <c r="F235" s="9" t="str">
        <f>messy_sales!F235</f>
        <v>Enterprise</v>
      </c>
      <c r="G235" s="8">
        <f>IF(messy_sales!G235="", "Missing" , messy_sales!G235)</f>
        <v>24855.35</v>
      </c>
    </row>
    <row r="236">
      <c r="A236" s="9" t="str">
        <f>messy_sales!A236</f>
        <v>ORD-01235</v>
      </c>
      <c r="B236" s="10">
        <f>IFERROR(DATEVALUE(messy_sales!B236), "Invalid Date")</f>
        <v>45327</v>
      </c>
      <c r="C236" s="9" t="str">
        <f>TRIM(messy_sales!C236)</f>
        <v>Outback Supplies</v>
      </c>
      <c r="D236" s="9" t="str">
        <f>UPPER(TRIM(messy_sales!D236))</f>
        <v>AU</v>
      </c>
      <c r="E236" s="9" t="str">
        <f>messy_sales!E236</f>
        <v>APAC</v>
      </c>
      <c r="F236" s="9" t="str">
        <f>messy_sales!F236</f>
        <v>Mid-Market</v>
      </c>
      <c r="G236" s="8">
        <f>IF(messy_sales!G236="", "Missing" , messy_sales!G236)</f>
        <v>6414.27</v>
      </c>
    </row>
    <row r="237">
      <c r="A237" s="9" t="str">
        <f>messy_sales!A237</f>
        <v>ORD-01236</v>
      </c>
      <c r="B237" s="10">
        <f>IFERROR(DATEVALUE(messy_sales!B237), "Invalid Date")</f>
        <v>45816</v>
      </c>
      <c r="C237" s="9" t="str">
        <f>TRIM(messy_sales!C237)</f>
        <v>Bengaluru Softworks</v>
      </c>
      <c r="D237" s="9" t="str">
        <f>UPPER(TRIM(messy_sales!D237))</f>
        <v>IN</v>
      </c>
      <c r="E237" s="9" t="str">
        <f>messy_sales!E237</f>
        <v>APAC</v>
      </c>
      <c r="F237" s="9" t="str">
        <f>messy_sales!F237</f>
        <v>Mid-Market</v>
      </c>
      <c r="G237" s="8">
        <f>IF(messy_sales!G237="", "Missing" , messy_sales!G237)</f>
        <v>6201.19</v>
      </c>
    </row>
    <row r="238">
      <c r="A238" s="9" t="str">
        <f>messy_sales!A238</f>
        <v>ORD-01237</v>
      </c>
      <c r="B238" s="10">
        <f>IFERROR(DATEVALUE(messy_sales!B238), "Invalid Date")</f>
        <v>45461</v>
      </c>
      <c r="C238" s="9" t="str">
        <f>TRIM(messy_sales!C238)</f>
        <v>Adventure Works</v>
      </c>
      <c r="D238" s="9" t="str">
        <f>UPPER(TRIM(messy_sales!D238))</f>
        <v>CA</v>
      </c>
      <c r="E238" s="9" t="str">
        <f>messy_sales!E238</f>
        <v>North America</v>
      </c>
      <c r="F238" s="9" t="str">
        <f>messy_sales!F238</f>
        <v>Mid-Market</v>
      </c>
      <c r="G238" s="8">
        <f>IF(messy_sales!G238="", "Missing" , messy_sales!G238)</f>
        <v>7754.97</v>
      </c>
    </row>
    <row r="239">
      <c r="A239" s="9" t="str">
        <f>messy_sales!A239</f>
        <v>ORD-01238</v>
      </c>
      <c r="B239" s="10">
        <f>IFERROR(DATEVALUE(messy_sales!B239), "Invalid Date")</f>
        <v>45621</v>
      </c>
      <c r="C239" s="9" t="str">
        <f>TRIM(messy_sales!C239)</f>
        <v>Adventure Works</v>
      </c>
      <c r="D239" s="9" t="str">
        <f>UPPER(TRIM(messy_sales!D239))</f>
        <v>CA</v>
      </c>
      <c r="E239" s="9" t="str">
        <f>messy_sales!E239</f>
        <v>North America</v>
      </c>
      <c r="F239" s="9" t="str">
        <f>messy_sales!F239</f>
        <v>Mid-Market</v>
      </c>
      <c r="G239" s="8">
        <f>IF(messy_sales!G239="", "Missing" , messy_sales!G239)</f>
        <v>5610.23</v>
      </c>
    </row>
    <row r="240">
      <c r="A240" s="9" t="str">
        <f>messy_sales!A240</f>
        <v>ORD-01239</v>
      </c>
      <c r="B240" s="10">
        <f>IFERROR(DATEVALUE(messy_sales!B240), "Invalid Date")</f>
        <v>45654</v>
      </c>
      <c r="C240" s="9" t="str">
        <f>TRIM(messy_sales!C240)</f>
        <v>Maple Leaf Distributors</v>
      </c>
      <c r="D240" s="9" t="str">
        <f>UPPER(TRIM(messy_sales!D240))</f>
        <v>CA</v>
      </c>
      <c r="E240" s="9" t="str">
        <f>messy_sales!E240</f>
        <v>North America</v>
      </c>
      <c r="F240" s="9" t="str">
        <f>messy_sales!F240</f>
        <v>Enterprise</v>
      </c>
      <c r="G240" s="8">
        <f>IF(messy_sales!G240="", "Missing" , messy_sales!G240)</f>
        <v>25361.05</v>
      </c>
    </row>
    <row r="241">
      <c r="A241" s="9" t="str">
        <f>messy_sales!A241</f>
        <v>ORD-01240</v>
      </c>
      <c r="B241" s="10">
        <f>IFERROR(DATEVALUE(messy_sales!B241), "Invalid Date")</f>
        <v>45694</v>
      </c>
      <c r="C241" s="9" t="str">
        <f>TRIM(messy_sales!C241)</f>
        <v>Fabrikam Inc</v>
      </c>
      <c r="D241" s="9" t="str">
        <f>UPPER(TRIM(messy_sales!D241))</f>
        <v>US</v>
      </c>
      <c r="E241" s="9" t="str">
        <f>messy_sales!E241</f>
        <v>North America</v>
      </c>
      <c r="F241" s="9" t="str">
        <f>messy_sales!F241</f>
        <v>Mid-Market</v>
      </c>
      <c r="G241" s="8">
        <f>IF(messy_sales!G241="", "Missing" , messy_sales!G241)</f>
        <v>10584.39</v>
      </c>
    </row>
    <row r="242">
      <c r="A242" s="9" t="str">
        <f>messy_sales!A242</f>
        <v>ORD-01241</v>
      </c>
      <c r="B242" s="10">
        <f>IFERROR(DATEVALUE(messy_sales!B242), "Invalid Date")</f>
        <v>45635</v>
      </c>
      <c r="C242" s="9" t="str">
        <f>TRIM(messy_sales!C242)</f>
        <v>Proseware GmbH</v>
      </c>
      <c r="D242" s="9" t="str">
        <f>UPPER(TRIM(messy_sales!D242))</f>
        <v>DE</v>
      </c>
      <c r="E242" s="9" t="str">
        <f>messy_sales!E242</f>
        <v>EMEA</v>
      </c>
      <c r="F242" s="9" t="str">
        <f>messy_sales!F242</f>
        <v>Enterprise</v>
      </c>
      <c r="G242" s="8">
        <f>IF(messy_sales!G242="", "Missing" , messy_sales!G242)</f>
        <v>10287.15</v>
      </c>
    </row>
    <row r="243">
      <c r="A243" s="9" t="str">
        <f>messy_sales!A243</f>
        <v>ORD-01242</v>
      </c>
      <c r="B243" s="10">
        <f>IFERROR(DATEVALUE(messy_sales!B243), "Invalid Date")</f>
        <v>45446</v>
      </c>
      <c r="C243" s="9" t="str">
        <f>TRIM(messy_sales!C243)</f>
        <v>Northwind Traders</v>
      </c>
      <c r="D243" s="9" t="str">
        <f>UPPER(TRIM(messy_sales!D243))</f>
        <v>US</v>
      </c>
      <c r="E243" s="9" t="str">
        <f>messy_sales!E243</f>
        <v>North America</v>
      </c>
      <c r="F243" s="9" t="str">
        <f>messy_sales!F243</f>
        <v>Enterprise</v>
      </c>
      <c r="G243" s="8">
        <f>IF(messy_sales!G243="", "Missing" , messy_sales!G243)</f>
        <v>32640.25</v>
      </c>
    </row>
    <row r="244">
      <c r="A244" s="9" t="str">
        <f>messy_sales!A244</f>
        <v>ORD-01243</v>
      </c>
      <c r="B244" s="10">
        <f>IFERROR(DATEVALUE(messy_sales!B244), "Invalid Date")</f>
        <v>45309</v>
      </c>
      <c r="C244" s="9" t="str">
        <f>TRIM(messy_sales!C244)</f>
        <v>Hanseatic Imports</v>
      </c>
      <c r="D244" s="9" t="str">
        <f>UPPER(TRIM(messy_sales!D244))</f>
        <v>DE</v>
      </c>
      <c r="E244" s="9" t="str">
        <f>messy_sales!E244</f>
        <v>EMEA</v>
      </c>
      <c r="F244" s="9" t="str">
        <f>messy_sales!F244</f>
        <v>SMB</v>
      </c>
      <c r="G244" s="8">
        <f>IF(messy_sales!G244="", "Missing" , messy_sales!G244)</f>
        <v>815.97</v>
      </c>
    </row>
    <row r="245">
      <c r="A245" s="9" t="str">
        <f>messy_sales!A245</f>
        <v>ORD-01244</v>
      </c>
      <c r="B245" s="10" t="str">
        <f>IFERROR(DATEVALUE(messy_sales!B245), "Invalid Date")</f>
        <v>Invalid Date</v>
      </c>
      <c r="C245" s="9" t="str">
        <f>TRIM(messy_sales!C245)</f>
        <v>Wingtip Retail</v>
      </c>
      <c r="D245" s="9" t="str">
        <f>UPPER(TRIM(messy_sales!D245))</f>
        <v>US</v>
      </c>
      <c r="E245" s="9" t="str">
        <f>messy_sales!E245</f>
        <v>North America</v>
      </c>
      <c r="F245" s="9" t="str">
        <f>messy_sales!F245</f>
        <v>SMB</v>
      </c>
      <c r="G245" s="8">
        <f>IF(messy_sales!G245="", "Missing" , messy_sales!G245)</f>
        <v>3388.24</v>
      </c>
    </row>
    <row r="246">
      <c r="A246" s="9" t="str">
        <f>messy_sales!A246</f>
        <v>ORD-01245</v>
      </c>
      <c r="B246" s="10">
        <f>IFERROR(DATEVALUE(messy_sales!B246), "Invalid Date")</f>
        <v>45663</v>
      </c>
      <c r="C246" s="9" t="str">
        <f>TRIM(messy_sales!C246)</f>
        <v>Contoso Ltd</v>
      </c>
      <c r="D246" s="9" t="str">
        <f>UPPER(TRIM(messy_sales!D246))</f>
        <v>US</v>
      </c>
      <c r="E246" s="9" t="str">
        <f>messy_sales!E246</f>
        <v>North America</v>
      </c>
      <c r="F246" s="9" t="str">
        <f>messy_sales!F246</f>
        <v>Enterprise</v>
      </c>
      <c r="G246" s="8" t="str">
        <f>IF(messy_sales!G246="", "Missing" , messy_sales!G246)</f>
        <v>Missing</v>
      </c>
    </row>
    <row r="247">
      <c r="A247" s="9" t="str">
        <f>messy_sales!A247</f>
        <v>ORD-01246</v>
      </c>
      <c r="B247" s="10">
        <f>IFERROR(DATEVALUE(messy_sales!B247), "Invalid Date")</f>
        <v>45302</v>
      </c>
      <c r="C247" s="9" t="str">
        <f>TRIM(messy_sales!C247)</f>
        <v>Litware Systems</v>
      </c>
      <c r="D247" s="9" t="str">
        <f>UPPER(TRIM(messy_sales!D247))</f>
        <v>GB</v>
      </c>
      <c r="E247" s="9" t="str">
        <f>messy_sales!E247</f>
        <v>EMEA</v>
      </c>
      <c r="F247" s="9" t="str">
        <f>messy_sales!F247</f>
        <v>Enterprise</v>
      </c>
      <c r="G247" s="8">
        <f>IF(messy_sales!G247="", "Missing" , messy_sales!G247)</f>
        <v>13839.84</v>
      </c>
    </row>
    <row r="248">
      <c r="A248" s="9" t="str">
        <f>messy_sales!A248</f>
        <v>ORD-01247</v>
      </c>
      <c r="B248" s="10">
        <f>IFERROR(DATEVALUE(messy_sales!B248), "Invalid Date")</f>
        <v>45815</v>
      </c>
      <c r="C248" s="9" t="str">
        <f>TRIM(messy_sales!C248)</f>
        <v>Wingtip Retail</v>
      </c>
      <c r="D248" s="9" t="str">
        <f>UPPER(TRIM(messy_sales!D248))</f>
        <v>US</v>
      </c>
      <c r="E248" s="9" t="str">
        <f>messy_sales!E248</f>
        <v>North America</v>
      </c>
      <c r="F248" s="9" t="str">
        <f>messy_sales!F248</f>
        <v>SMB</v>
      </c>
      <c r="G248" s="8">
        <f>IF(messy_sales!G248="", "Missing" , messy_sales!G248)</f>
        <v>1653.48</v>
      </c>
    </row>
    <row r="249">
      <c r="A249" s="9" t="str">
        <f>messy_sales!A249</f>
        <v>ORD-01248</v>
      </c>
      <c r="B249" s="10">
        <f>IFERROR(DATEVALUE(messy_sales!B249), "Invalid Date")</f>
        <v>45754</v>
      </c>
      <c r="C249" s="9" t="str">
        <f>TRIM(messy_sales!C249)</f>
        <v>Proseware GmbH</v>
      </c>
      <c r="D249" s="9" t="str">
        <f>UPPER(TRIM(messy_sales!D249))</f>
        <v>DE</v>
      </c>
      <c r="E249" s="9" t="str">
        <f>messy_sales!E249</f>
        <v>EMEA</v>
      </c>
      <c r="F249" s="9" t="str">
        <f>messy_sales!F249</f>
        <v>Enterprise</v>
      </c>
      <c r="G249" s="8">
        <f>IF(messy_sales!G249="", "Missing" , messy_sales!G249)</f>
        <v>37771.57</v>
      </c>
    </row>
    <row r="250">
      <c r="A250" s="9" t="str">
        <f>messy_sales!A250</f>
        <v>ORD-01249</v>
      </c>
      <c r="B250" s="10">
        <f>IFERROR(DATEVALUE(messy_sales!B250), "Invalid Date")</f>
        <v>45331</v>
      </c>
      <c r="C250" s="9" t="str">
        <f>TRIM(messy_sales!C250)</f>
        <v>Contoso Ltd</v>
      </c>
      <c r="D250" s="9" t="str">
        <f>UPPER(TRIM(messy_sales!D250))</f>
        <v>US</v>
      </c>
      <c r="E250" s="9" t="str">
        <f>messy_sales!E250</f>
        <v>North America</v>
      </c>
      <c r="F250" s="9" t="str">
        <f>messy_sales!F250</f>
        <v>Enterprise</v>
      </c>
      <c r="G250" s="8">
        <f>IF(messy_sales!G250="", "Missing" , messy_sales!G250)</f>
        <v>21644.97</v>
      </c>
    </row>
    <row r="251">
      <c r="A251" s="9" t="str">
        <f>messy_sales!A251</f>
        <v>ORD-01250</v>
      </c>
      <c r="B251" s="10">
        <f>IFERROR(DATEVALUE(messy_sales!B251), "Invalid Date")</f>
        <v>45825</v>
      </c>
      <c r="C251" s="9" t="str">
        <f>TRIM(messy_sales!C251)</f>
        <v>Marina Bay Retail</v>
      </c>
      <c r="D251" s="9" t="str">
        <f>UPPER(TRIM(messy_sales!D251))</f>
        <v>SG</v>
      </c>
      <c r="E251" s="9" t="str">
        <f>messy_sales!E251</f>
        <v>APAC</v>
      </c>
      <c r="F251" s="9" t="str">
        <f>messy_sales!F251</f>
        <v>Enterprise</v>
      </c>
      <c r="G251" s="8">
        <f>IF(messy_sales!G251="", "Missing" , messy_sales!G251)</f>
        <v>30931.71</v>
      </c>
    </row>
    <row r="252">
      <c r="A252" s="9" t="str">
        <f>messy_sales!A252</f>
        <v>ORD-01251</v>
      </c>
      <c r="B252" s="10">
        <f>IFERROR(DATEVALUE(messy_sales!B252), "Invalid Date")</f>
        <v>45787</v>
      </c>
      <c r="C252" s="9" t="str">
        <f>TRIM(messy_sales!C252)</f>
        <v>Coho Vineyard</v>
      </c>
      <c r="D252" s="9" t="str">
        <f>UPPER(TRIM(messy_sales!D252))</f>
        <v>US</v>
      </c>
      <c r="E252" s="9" t="str">
        <f>messy_sales!E252</f>
        <v>North America</v>
      </c>
      <c r="F252" s="9" t="str">
        <f>messy_sales!F252</f>
        <v>SMB</v>
      </c>
      <c r="G252" s="8">
        <f>IF(messy_sales!G252="", "Missing" , messy_sales!G252)</f>
        <v>1060.47</v>
      </c>
    </row>
    <row r="253">
      <c r="A253" s="9" t="str">
        <f>messy_sales!A253</f>
        <v>ORD-01252</v>
      </c>
      <c r="B253" s="10">
        <f>IFERROR(DATEVALUE(messy_sales!B253), "Invalid Date")</f>
        <v>45720</v>
      </c>
      <c r="C253" s="9" t="str">
        <f>TRIM(messy_sales!C253)</f>
        <v>Blue Yonder Airlines</v>
      </c>
      <c r="D253" s="9" t="str">
        <f>UPPER(TRIM(messy_sales!D253))</f>
        <v>US</v>
      </c>
      <c r="E253" s="9" t="str">
        <f>messy_sales!E253</f>
        <v>North America</v>
      </c>
      <c r="F253" s="9" t="str">
        <f>messy_sales!F253</f>
        <v>Enterprise</v>
      </c>
      <c r="G253" s="8">
        <f>IF(messy_sales!G253="", "Missing" , messy_sales!G253)</f>
        <v>39345.11</v>
      </c>
    </row>
    <row r="254">
      <c r="A254" s="9" t="str">
        <f>messy_sales!A254</f>
        <v>ORD-01253</v>
      </c>
      <c r="B254" s="10">
        <f>IFERROR(DATEVALUE(messy_sales!B254), "Invalid Date")</f>
        <v>45729</v>
      </c>
      <c r="C254" s="9" t="str">
        <f>TRIM(messy_sales!C254)</f>
        <v>Outback Supplies</v>
      </c>
      <c r="D254" s="9" t="str">
        <f>UPPER(TRIM(messy_sales!D254))</f>
        <v>AU</v>
      </c>
      <c r="E254" s="9" t="str">
        <f>messy_sales!E254</f>
        <v>APAC</v>
      </c>
      <c r="F254" s="9" t="str">
        <f>messy_sales!F254</f>
        <v>Mid-Market</v>
      </c>
      <c r="G254" s="8">
        <f>IF(messy_sales!G254="", "Missing" , messy_sales!G254)</f>
        <v>10541.46</v>
      </c>
    </row>
    <row r="255">
      <c r="A255" s="9" t="str">
        <f>messy_sales!A255</f>
        <v>ORD-01254</v>
      </c>
      <c r="B255" s="10">
        <f>IFERROR(DATEVALUE(messy_sales!B255), "Invalid Date")</f>
        <v>45325</v>
      </c>
      <c r="C255" s="9" t="str">
        <f>TRIM(messy_sales!C255)</f>
        <v>Northwind Traders</v>
      </c>
      <c r="D255" s="9" t="str">
        <f>UPPER(TRIM(messy_sales!D255))</f>
        <v>US</v>
      </c>
      <c r="E255" s="9" t="str">
        <f>messy_sales!E255</f>
        <v>North America</v>
      </c>
      <c r="F255" s="9" t="str">
        <f>messy_sales!F255</f>
        <v>Enterprise</v>
      </c>
      <c r="G255" s="8">
        <f>IF(messy_sales!G255="", "Missing" , messy_sales!G255)</f>
        <v>11356.48</v>
      </c>
    </row>
    <row r="256">
      <c r="A256" s="9" t="str">
        <f>messy_sales!A256</f>
        <v>ORD-01255</v>
      </c>
      <c r="B256" s="10">
        <f>IFERROR(DATEVALUE(messy_sales!B256), "Invalid Date")</f>
        <v>45534</v>
      </c>
      <c r="C256" s="9" t="str">
        <f>TRIM(messy_sales!C256)</f>
        <v>Nordwind Energie</v>
      </c>
      <c r="D256" s="9" t="str">
        <f>UPPER(TRIM(messy_sales!D256))</f>
        <v>DE</v>
      </c>
      <c r="E256" s="9" t="str">
        <f>messy_sales!E256</f>
        <v>EMEA</v>
      </c>
      <c r="F256" s="9" t="str">
        <f>messy_sales!F256</f>
        <v>Mid-Market</v>
      </c>
      <c r="G256" s="8">
        <f>IF(messy_sales!G256="", "Missing" , messy_sales!G256)</f>
        <v>6169.74</v>
      </c>
    </row>
    <row r="257">
      <c r="A257" s="9" t="str">
        <f>messy_sales!A257</f>
        <v>ORD-01256</v>
      </c>
      <c r="B257" s="10">
        <f>IFERROR(DATEVALUE(messy_sales!B257), "Invalid Date")</f>
        <v>45393</v>
      </c>
      <c r="C257" s="9" t="str">
        <f>TRIM(messy_sales!C257)</f>
        <v>Gulf Logistics</v>
      </c>
      <c r="D257" s="9" t="str">
        <f>UPPER(TRIM(messy_sales!D257))</f>
        <v>AE</v>
      </c>
      <c r="E257" s="9" t="str">
        <f>messy_sales!E257</f>
        <v>EMEA</v>
      </c>
      <c r="F257" s="9" t="str">
        <f>messy_sales!F257</f>
        <v>Enterprise</v>
      </c>
      <c r="G257" s="8">
        <f>IF(messy_sales!G257="", "Missing" , messy_sales!G257)</f>
        <v>37218.84</v>
      </c>
    </row>
    <row r="258">
      <c r="A258" s="9" t="str">
        <f>messy_sales!A258</f>
        <v>ORD-01257</v>
      </c>
      <c r="B258" s="10">
        <f>IFERROR(DATEVALUE(messy_sales!B258), "Invalid Date")</f>
        <v>45441</v>
      </c>
      <c r="C258" s="9" t="str">
        <f>TRIM(messy_sales!C258)</f>
        <v>Pacific Northwest Co</v>
      </c>
      <c r="D258" s="9" t="str">
        <f>UPPER(TRIM(messy_sales!D258))</f>
        <v>US</v>
      </c>
      <c r="E258" s="9" t="str">
        <f>messy_sales!E258</f>
        <v>North America</v>
      </c>
      <c r="F258" s="9" t="str">
        <f>messy_sales!F258</f>
        <v>Mid-Market</v>
      </c>
      <c r="G258" s="8">
        <f>IF(messy_sales!G258="", "Missing" , messy_sales!G258)</f>
        <v>6976.26</v>
      </c>
    </row>
    <row r="259">
      <c r="A259" s="9" t="str">
        <f>messy_sales!A259</f>
        <v>ORD-01258</v>
      </c>
      <c r="B259" s="10">
        <f>IFERROR(DATEVALUE(messy_sales!B259), "Invalid Date")</f>
        <v>45744</v>
      </c>
      <c r="C259" s="9" t="str">
        <f>TRIM(messy_sales!C259)</f>
        <v>Northwind Traders</v>
      </c>
      <c r="D259" s="9" t="str">
        <f>UPPER(TRIM(messy_sales!D259))</f>
        <v>US</v>
      </c>
      <c r="E259" s="9" t="str">
        <f>messy_sales!E259</f>
        <v>North America</v>
      </c>
      <c r="F259" s="9" t="str">
        <f>messy_sales!F259</f>
        <v>Enterprise</v>
      </c>
      <c r="G259" s="8">
        <f>IF(messy_sales!G259="", "Missing" , messy_sales!G259)</f>
        <v>34544.72</v>
      </c>
    </row>
    <row r="260">
      <c r="A260" s="9" t="str">
        <f>messy_sales!A260</f>
        <v>ORD-01259</v>
      </c>
      <c r="B260" s="10">
        <f>IFERROR(DATEVALUE(messy_sales!B260), "Invalid Date")</f>
        <v>45549</v>
      </c>
      <c r="C260" s="9" t="str">
        <f>TRIM(messy_sales!C260)</f>
        <v>Graphic Design Institute</v>
      </c>
      <c r="D260" s="9" t="str">
        <f>UPPER(TRIM(messy_sales!D260))</f>
        <v>GB</v>
      </c>
      <c r="E260" s="9" t="str">
        <f>messy_sales!E260</f>
        <v>EMEA</v>
      </c>
      <c r="F260" s="9" t="str">
        <f>messy_sales!F260</f>
        <v>SMB</v>
      </c>
      <c r="G260" s="8">
        <f>IF(messy_sales!G260="", "Missing" , messy_sales!G260)</f>
        <v>539.24</v>
      </c>
    </row>
    <row r="261">
      <c r="A261" s="9" t="str">
        <f>messy_sales!A261</f>
        <v>ORD-01260</v>
      </c>
      <c r="B261" s="10">
        <f>IFERROR(DATEVALUE(messy_sales!B261), "Invalid Date")</f>
        <v>45507</v>
      </c>
      <c r="C261" s="9" t="str">
        <f>TRIM(messy_sales!C261)</f>
        <v>Bengaluru Softworks</v>
      </c>
      <c r="D261" s="9" t="str">
        <f>UPPER(TRIM(messy_sales!D261))</f>
        <v>IN</v>
      </c>
      <c r="E261" s="9" t="str">
        <f>messy_sales!E261</f>
        <v>APAC</v>
      </c>
      <c r="F261" s="9" t="str">
        <f>messy_sales!F261</f>
        <v>Mid-Market</v>
      </c>
      <c r="G261" s="8">
        <f>IF(messy_sales!G261="", "Missing" , messy_sales!G261)</f>
        <v>4292.4</v>
      </c>
    </row>
    <row r="262">
      <c r="A262" s="9" t="str">
        <f>messy_sales!A262</f>
        <v>ORD-01261</v>
      </c>
      <c r="B262" s="10">
        <f>IFERROR(DATEVALUE(messy_sales!B262), "Invalid Date")</f>
        <v>45576</v>
      </c>
      <c r="C262" s="9" t="str">
        <f>TRIM(messy_sales!C262)</f>
        <v>Outback Supplies</v>
      </c>
      <c r="D262" s="9" t="str">
        <f>UPPER(TRIM(messy_sales!D262))</f>
        <v>AU</v>
      </c>
      <c r="E262" s="9" t="str">
        <f>messy_sales!E262</f>
        <v>APAC</v>
      </c>
      <c r="F262" s="9" t="str">
        <f>messy_sales!F262</f>
        <v>Mid-Market</v>
      </c>
      <c r="G262" s="8">
        <f>IF(messy_sales!G262="", "Missing" , messy_sales!G262)</f>
        <v>4379.15</v>
      </c>
    </row>
    <row r="263">
      <c r="A263" s="9" t="str">
        <f>messy_sales!A263</f>
        <v>ORD-01262</v>
      </c>
      <c r="B263" s="10">
        <f>IFERROR(DATEVALUE(messy_sales!B263), "Invalid Date")</f>
        <v>45581</v>
      </c>
      <c r="C263" s="9" t="str">
        <f>TRIM(messy_sales!C263)</f>
        <v>Wingtip Retail</v>
      </c>
      <c r="D263" s="9" t="str">
        <f>UPPER(TRIM(messy_sales!D263))</f>
        <v>US</v>
      </c>
      <c r="E263" s="9" t="str">
        <f>messy_sales!E263</f>
        <v>North America</v>
      </c>
      <c r="F263" s="9" t="str">
        <f>messy_sales!F263</f>
        <v>SMB</v>
      </c>
      <c r="G263" s="8">
        <f>IF(messy_sales!G263="", "Missing" , messy_sales!G263)</f>
        <v>2685.67</v>
      </c>
    </row>
    <row r="264">
      <c r="A264" s="9" t="str">
        <f>messy_sales!A264</f>
        <v>ORD-01263</v>
      </c>
      <c r="B264" s="10">
        <f>IFERROR(DATEVALUE(messy_sales!B264), "Invalid Date")</f>
        <v>45361</v>
      </c>
      <c r="C264" s="9" t="str">
        <f>TRIM(messy_sales!C264)</f>
        <v>Lion City Traders</v>
      </c>
      <c r="D264" s="9" t="str">
        <f>UPPER(TRIM(messy_sales!D264))</f>
        <v>SG</v>
      </c>
      <c r="E264" s="9" t="str">
        <f>messy_sales!E264</f>
        <v>APAC</v>
      </c>
      <c r="F264" s="9" t="str">
        <f>messy_sales!F264</f>
        <v>Mid-Market</v>
      </c>
      <c r="G264" s="8">
        <f>IF(messy_sales!G264="", "Missing" , messy_sales!G264)</f>
        <v>9911.13</v>
      </c>
    </row>
    <row r="265">
      <c r="A265" s="9" t="str">
        <f>messy_sales!A265</f>
        <v>ORD-01264</v>
      </c>
      <c r="B265" s="10">
        <f>IFERROR(DATEVALUE(messy_sales!B265), "Invalid Date")</f>
        <v>45525</v>
      </c>
      <c r="C265" s="9" t="str">
        <f>TRIM(messy_sales!C265)</f>
        <v>Outback Supplies</v>
      </c>
      <c r="D265" s="9" t="str">
        <f>UPPER(TRIM(messy_sales!D265))</f>
        <v>AU</v>
      </c>
      <c r="E265" s="9" t="str">
        <f>messy_sales!E265</f>
        <v>APAC</v>
      </c>
      <c r="F265" s="9" t="str">
        <f>messy_sales!F265</f>
        <v>Mid-Market</v>
      </c>
      <c r="G265" s="8">
        <f>IF(messy_sales!G265="", "Missing" , messy_sales!G265)</f>
        <v>2958.21</v>
      </c>
    </row>
    <row r="266">
      <c r="A266" s="9" t="str">
        <f>messy_sales!A266</f>
        <v>ORD-01265</v>
      </c>
      <c r="B266" s="10">
        <f>IFERROR(DATEVALUE(messy_sales!B266), "Invalid Date")</f>
        <v>45719</v>
      </c>
      <c r="C266" s="9" t="str">
        <f>TRIM(messy_sales!C266)</f>
        <v>Gulf Logistics</v>
      </c>
      <c r="D266" s="9" t="str">
        <f>UPPER(TRIM(messy_sales!D266))</f>
        <v>AE</v>
      </c>
      <c r="E266" s="9" t="str">
        <f>messy_sales!E266</f>
        <v>EMEA</v>
      </c>
      <c r="F266" s="9" t="str">
        <f>messy_sales!F266</f>
        <v>Enterprise</v>
      </c>
      <c r="G266" s="8">
        <f>IF(messy_sales!G266="", "Missing" , messy_sales!G266)</f>
        <v>39854.97</v>
      </c>
    </row>
    <row r="267">
      <c r="A267" s="9" t="str">
        <f>messy_sales!A267</f>
        <v>ORD-01266</v>
      </c>
      <c r="B267" s="10">
        <f>IFERROR(DATEVALUE(messy_sales!B267), "Invalid Date")</f>
        <v>45830</v>
      </c>
      <c r="C267" s="9" t="str">
        <f>TRIM(messy_sales!C267)</f>
        <v>Wide World Importers</v>
      </c>
      <c r="D267" s="9" t="str">
        <f>UPPER(TRIM(messy_sales!D267))</f>
        <v>GB</v>
      </c>
      <c r="E267" s="9" t="str">
        <f>messy_sales!E267</f>
        <v>EMEA</v>
      </c>
      <c r="F267" s="9" t="str">
        <f>messy_sales!F267</f>
        <v>Mid-Market</v>
      </c>
      <c r="G267" s="8">
        <f>IF(messy_sales!G267="", "Missing" , messy_sales!G267)</f>
        <v>2994.16</v>
      </c>
    </row>
    <row r="268">
      <c r="A268" s="9" t="str">
        <f>messy_sales!A268</f>
        <v>ORD-01267</v>
      </c>
      <c r="B268" s="10">
        <f>IFERROR(DATEVALUE(messy_sales!B268), "Invalid Date")</f>
        <v>45654</v>
      </c>
      <c r="C268" s="9" t="str">
        <f>TRIM(messy_sales!C268)</f>
        <v>Thames Valley Foods</v>
      </c>
      <c r="D268" s="9" t="str">
        <f>UPPER(TRIM(messy_sales!D268))</f>
        <v>GB</v>
      </c>
      <c r="E268" s="9" t="str">
        <f>messy_sales!E268</f>
        <v>EMEA</v>
      </c>
      <c r="F268" s="9" t="str">
        <f>messy_sales!F268</f>
        <v>Mid-Market</v>
      </c>
      <c r="G268" s="8">
        <f>IF(messy_sales!G268="", "Missing" , messy_sales!G268)</f>
        <v>11140.52</v>
      </c>
    </row>
    <row r="269">
      <c r="A269" s="9" t="str">
        <f>messy_sales!A269</f>
        <v>ORD-01268</v>
      </c>
      <c r="B269" s="10">
        <f>IFERROR(DATEVALUE(messy_sales!B269), "Invalid Date")</f>
        <v>45310</v>
      </c>
      <c r="C269" s="9" t="str">
        <f>TRIM(messy_sales!C269)</f>
        <v>Tata Consultancy Retail</v>
      </c>
      <c r="D269" s="9" t="str">
        <f>UPPER(TRIM(messy_sales!D269))</f>
        <v>IN</v>
      </c>
      <c r="E269" s="9" t="str">
        <f>messy_sales!E269</f>
        <v>APAC</v>
      </c>
      <c r="F269" s="9" t="str">
        <f>messy_sales!F269</f>
        <v>Enterprise</v>
      </c>
      <c r="G269" s="8">
        <f>IF(messy_sales!G269="", "Missing" , messy_sales!G269)</f>
        <v>23785.4</v>
      </c>
    </row>
    <row r="270">
      <c r="A270" s="9" t="str">
        <f>messy_sales!A270</f>
        <v>ORD-01269</v>
      </c>
      <c r="B270" s="10">
        <f>IFERROR(DATEVALUE(messy_sales!B270), "Invalid Date")</f>
        <v>45741</v>
      </c>
      <c r="C270" s="9" t="str">
        <f>TRIM(messy_sales!C270)</f>
        <v>Wide World Importers</v>
      </c>
      <c r="D270" s="9" t="str">
        <f>UPPER(TRIM(messy_sales!D270))</f>
        <v>GB</v>
      </c>
      <c r="E270" s="9" t="str">
        <f>messy_sales!E270</f>
        <v>EMEA</v>
      </c>
      <c r="F270" s="9" t="str">
        <f>messy_sales!F270</f>
        <v>Mid-Market</v>
      </c>
      <c r="G270" s="8">
        <f>IF(messy_sales!G270="", "Missing" , messy_sales!G270)</f>
        <v>9685.5</v>
      </c>
    </row>
    <row r="271">
      <c r="A271" s="9" t="str">
        <f>messy_sales!A271</f>
        <v>ORD-01270</v>
      </c>
      <c r="B271" s="10">
        <f>IFERROR(DATEVALUE(messy_sales!B271), "Invalid Date")</f>
        <v>45418</v>
      </c>
      <c r="C271" s="9" t="str">
        <f>TRIM(messy_sales!C271)</f>
        <v>Pacific Northwest Co</v>
      </c>
      <c r="D271" s="9" t="str">
        <f>UPPER(TRIM(messy_sales!D271))</f>
        <v>US</v>
      </c>
      <c r="E271" s="9" t="str">
        <f>messy_sales!E271</f>
        <v>North America</v>
      </c>
      <c r="F271" s="9" t="str">
        <f>messy_sales!F271</f>
        <v>Mid-Market</v>
      </c>
      <c r="G271" s="8">
        <f>IF(messy_sales!G271="", "Missing" , messy_sales!G271)</f>
        <v>3965.61</v>
      </c>
    </row>
    <row r="272">
      <c r="A272" s="9" t="str">
        <f>messy_sales!A272</f>
        <v>ORD-01271</v>
      </c>
      <c r="B272" s="10">
        <f>IFERROR(DATEVALUE(messy_sales!B272), "Invalid Date")</f>
        <v>45408</v>
      </c>
      <c r="C272" s="9" t="str">
        <f>TRIM(messy_sales!C272)</f>
        <v>Thames Valley Foods</v>
      </c>
      <c r="D272" s="9" t="str">
        <f>UPPER(TRIM(messy_sales!D272))</f>
        <v>GB</v>
      </c>
      <c r="E272" s="9" t="str">
        <f>messy_sales!E272</f>
        <v>EMEA</v>
      </c>
      <c r="F272" s="9" t="str">
        <f>messy_sales!F272</f>
        <v>Mid-Market</v>
      </c>
      <c r="G272" s="8">
        <f>IF(messy_sales!G272="", "Missing" , messy_sales!G272)</f>
        <v>6206.45</v>
      </c>
    </row>
    <row r="273">
      <c r="A273" s="9" t="str">
        <f>messy_sales!A273</f>
        <v>ORD-01272</v>
      </c>
      <c r="B273" s="10">
        <f>IFERROR(DATEVALUE(messy_sales!B273), "Invalid Date")</f>
        <v>45590</v>
      </c>
      <c r="C273" s="9" t="str">
        <f>TRIM(messy_sales!C273)</f>
        <v>Marina Bay Retail</v>
      </c>
      <c r="D273" s="9" t="str">
        <f>UPPER(TRIM(messy_sales!D273))</f>
        <v>SG</v>
      </c>
      <c r="E273" s="9" t="str">
        <f>messy_sales!E273</f>
        <v>APAC</v>
      </c>
      <c r="F273" s="9" t="str">
        <f>messy_sales!F273</f>
        <v>Enterprise</v>
      </c>
      <c r="G273" s="8">
        <f>IF(messy_sales!G273="", "Missing" , messy_sales!G273)</f>
        <v>25718.31</v>
      </c>
    </row>
    <row r="274">
      <c r="A274" s="9" t="str">
        <f>messy_sales!A274</f>
        <v>ORD-01273</v>
      </c>
      <c r="B274" s="10">
        <f>IFERROR(DATEVALUE(messy_sales!B274), "Invalid Date")</f>
        <v>45502</v>
      </c>
      <c r="C274" s="9" t="str">
        <f>TRIM(messy_sales!C274)</f>
        <v>Nordwind Energie</v>
      </c>
      <c r="D274" s="9" t="str">
        <f>UPPER(TRIM(messy_sales!D274))</f>
        <v>DE</v>
      </c>
      <c r="E274" s="9" t="str">
        <f>messy_sales!E274</f>
        <v>EMEA</v>
      </c>
      <c r="F274" s="9" t="str">
        <f>messy_sales!F274</f>
        <v>Mid-Market</v>
      </c>
      <c r="G274" s="8">
        <f>IF(messy_sales!G274="", "Missing" , messy_sales!G274)</f>
        <v>7401.21</v>
      </c>
    </row>
    <row r="275">
      <c r="A275" s="9" t="str">
        <f>messy_sales!A275</f>
        <v>ORD-01274</v>
      </c>
      <c r="B275" s="10">
        <f>IFERROR(DATEVALUE(messy_sales!B275), "Invalid Date")</f>
        <v>45512</v>
      </c>
      <c r="C275" s="9" t="str">
        <f>TRIM(messy_sales!C275)</f>
        <v>Northwind Traders</v>
      </c>
      <c r="D275" s="9" t="str">
        <f>UPPER(TRIM(messy_sales!D275))</f>
        <v>US</v>
      </c>
      <c r="E275" s="9" t="str">
        <f>messy_sales!E275</f>
        <v>North America</v>
      </c>
      <c r="F275" s="9" t="str">
        <f>messy_sales!F275</f>
        <v>Enterprise</v>
      </c>
      <c r="G275" s="8">
        <f>IF(messy_sales!G275="", "Missing" , messy_sales!G275)</f>
        <v>33739.73</v>
      </c>
    </row>
    <row r="276">
      <c r="A276" s="9" t="str">
        <f>messy_sales!A276</f>
        <v>ORD-01275</v>
      </c>
      <c r="B276" s="10">
        <f>IFERROR(DATEVALUE(messy_sales!B276), "Invalid Date")</f>
        <v>45531</v>
      </c>
      <c r="C276" s="9" t="str">
        <f>TRIM(messy_sales!C276)</f>
        <v>Wingtip Retail</v>
      </c>
      <c r="D276" s="9" t="str">
        <f>UPPER(TRIM(messy_sales!D276))</f>
        <v>US</v>
      </c>
      <c r="E276" s="9" t="str">
        <f>messy_sales!E276</f>
        <v>North America</v>
      </c>
      <c r="F276" s="9" t="str">
        <f>messy_sales!F276</f>
        <v>SMB</v>
      </c>
      <c r="G276" s="8">
        <f>IF(messy_sales!G276="", "Missing" , messy_sales!G276)</f>
        <v>2621.36</v>
      </c>
    </row>
    <row r="277">
      <c r="A277" s="9" t="str">
        <f>messy_sales!A277</f>
        <v>ORD-01276</v>
      </c>
      <c r="B277" s="10">
        <f>IFERROR(DATEVALUE(messy_sales!B277), "Invalid Date")</f>
        <v>45385</v>
      </c>
      <c r="C277" s="9" t="str">
        <f>TRIM(messy_sales!C277)</f>
        <v>Outback Supplies</v>
      </c>
      <c r="D277" s="9" t="str">
        <f>UPPER(TRIM(messy_sales!D277))</f>
        <v>AU</v>
      </c>
      <c r="E277" s="9" t="str">
        <f>messy_sales!E277</f>
        <v>APAC</v>
      </c>
      <c r="F277" s="9" t="str">
        <f>messy_sales!F277</f>
        <v>Mid-Market</v>
      </c>
      <c r="G277" s="8">
        <f>IF(messy_sales!G277="", "Missing" , messy_sales!G277)</f>
        <v>8172.91</v>
      </c>
    </row>
    <row r="278">
      <c r="A278" s="9" t="str">
        <f>messy_sales!A278</f>
        <v>ORD-01277</v>
      </c>
      <c r="B278" s="10">
        <f>IFERROR(DATEVALUE(messy_sales!B278), "Invalid Date")</f>
        <v>45643</v>
      </c>
      <c r="C278" s="9" t="str">
        <f>TRIM(messy_sales!C278)</f>
        <v>Gulf Logistics</v>
      </c>
      <c r="D278" s="9" t="str">
        <f>UPPER(TRIM(messy_sales!D278))</f>
        <v>AE</v>
      </c>
      <c r="E278" s="9" t="str">
        <f>messy_sales!E278</f>
        <v>EMEA</v>
      </c>
      <c r="F278" s="9" t="str">
        <f>messy_sales!F278</f>
        <v>Enterprise</v>
      </c>
      <c r="G278" s="8">
        <f>IF(messy_sales!G278="", "Missing" , messy_sales!G278)</f>
        <v>13066.48</v>
      </c>
    </row>
    <row r="279">
      <c r="A279" s="9" t="str">
        <f>messy_sales!A279</f>
        <v>ORD-01278</v>
      </c>
      <c r="B279" s="10">
        <f>IFERROR(DATEVALUE(messy_sales!B279), "Invalid Date")</f>
        <v>45389</v>
      </c>
      <c r="C279" s="9" t="str">
        <f>TRIM(messy_sales!C279)</f>
        <v>Sydney Harbour Goods</v>
      </c>
      <c r="D279" s="9" t="str">
        <f>UPPER(TRIM(messy_sales!D279))</f>
        <v>AU</v>
      </c>
      <c r="E279" s="9" t="str">
        <f>messy_sales!E279</f>
        <v>APAC</v>
      </c>
      <c r="F279" s="9" t="str">
        <f>messy_sales!F279</f>
        <v>SMB</v>
      </c>
      <c r="G279" s="8">
        <f>IF(messy_sales!G279="", "Missing" , messy_sales!G279)</f>
        <v>1375.72</v>
      </c>
    </row>
    <row r="280">
      <c r="A280" s="9" t="str">
        <f>messy_sales!A280</f>
        <v>ORD-01279</v>
      </c>
      <c r="B280" s="10" t="str">
        <f>IFERROR(DATEVALUE(messy_sales!B280), "Invalid Date")</f>
        <v>Invalid Date</v>
      </c>
      <c r="C280" s="9" t="str">
        <f>TRIM(messy_sales!C280)</f>
        <v>Gulf Logistics</v>
      </c>
      <c r="D280" s="9" t="str">
        <f>UPPER(TRIM(messy_sales!D280))</f>
        <v>AE</v>
      </c>
      <c r="E280" s="9" t="str">
        <f>messy_sales!E280</f>
        <v>EMEA</v>
      </c>
      <c r="F280" s="9" t="str">
        <f>messy_sales!F280</f>
        <v>Enterprise</v>
      </c>
      <c r="G280" s="8">
        <f>IF(messy_sales!G280="", "Missing" , messy_sales!G280)</f>
        <v>31387.68</v>
      </c>
    </row>
    <row r="281">
      <c r="A281" s="9" t="str">
        <f>messy_sales!A281</f>
        <v>ORD-01280</v>
      </c>
      <c r="B281" s="10">
        <f>IFERROR(DATEVALUE(messy_sales!B281), "Invalid Date")</f>
        <v>45331</v>
      </c>
      <c r="C281" s="9" t="str">
        <f>TRIM(messy_sales!C281)</f>
        <v>Proseware GmbH</v>
      </c>
      <c r="D281" s="9" t="str">
        <f>UPPER(TRIM(messy_sales!D281))</f>
        <v>DE</v>
      </c>
      <c r="E281" s="9" t="str">
        <f>messy_sales!E281</f>
        <v>EMEA</v>
      </c>
      <c r="F281" s="9" t="str">
        <f>messy_sales!F281</f>
        <v>Enterprise</v>
      </c>
      <c r="G281" s="8">
        <f>IF(messy_sales!G281="", "Missing" , messy_sales!G281)</f>
        <v>24789.4</v>
      </c>
    </row>
    <row r="282">
      <c r="A282" s="9" t="str">
        <f>messy_sales!A282</f>
        <v>ORD-01281</v>
      </c>
      <c r="B282" s="10">
        <f>IFERROR(DATEVALUE(messy_sales!B282), "Invalid Date")</f>
        <v>45834</v>
      </c>
      <c r="C282" s="9" t="str">
        <f>TRIM(messy_sales!C282)</f>
        <v>Coho Vineyard</v>
      </c>
      <c r="D282" s="9" t="str">
        <f>UPPER(TRIM(messy_sales!D282))</f>
        <v>US</v>
      </c>
      <c r="E282" s="9" t="str">
        <f>messy_sales!E282</f>
        <v>North America</v>
      </c>
      <c r="F282" s="9" t="str">
        <f>messy_sales!F282</f>
        <v>SMB</v>
      </c>
      <c r="G282" s="8">
        <f>IF(messy_sales!G282="", "Missing" , messy_sales!G282)</f>
        <v>2025.7</v>
      </c>
    </row>
    <row r="283">
      <c r="A283" s="9" t="str">
        <f>messy_sales!A283</f>
        <v>ORD-01282</v>
      </c>
      <c r="B283" s="10">
        <f>IFERROR(DATEVALUE(messy_sales!B283), "Invalid Date")</f>
        <v>45663</v>
      </c>
      <c r="C283" s="9" t="str">
        <f>TRIM(messy_sales!C283)</f>
        <v>Delhi Textiles</v>
      </c>
      <c r="D283" s="9" t="str">
        <f>UPPER(TRIM(messy_sales!D283))</f>
        <v>IN</v>
      </c>
      <c r="E283" s="9" t="str">
        <f>messy_sales!E283</f>
        <v>APAC</v>
      </c>
      <c r="F283" s="9" t="str">
        <f>messy_sales!F283</f>
        <v>SMB</v>
      </c>
      <c r="G283" s="8">
        <f>IF(messy_sales!G283="", "Missing" , messy_sales!G283)</f>
        <v>355.66</v>
      </c>
    </row>
    <row r="284">
      <c r="A284" s="9" t="str">
        <f>messy_sales!A284</f>
        <v>ORD-01283</v>
      </c>
      <c r="B284" s="10">
        <f>IFERROR(DATEVALUE(messy_sales!B284), "Invalid Date")</f>
        <v>45490</v>
      </c>
      <c r="C284" s="9" t="str">
        <f>TRIM(messy_sales!C284)</f>
        <v>Wingtip Retail</v>
      </c>
      <c r="D284" s="9" t="str">
        <f>UPPER(TRIM(messy_sales!D284))</f>
        <v>US</v>
      </c>
      <c r="E284" s="9" t="str">
        <f>messy_sales!E284</f>
        <v>North America</v>
      </c>
      <c r="F284" s="9" t="str">
        <f>messy_sales!F284</f>
        <v>SMB</v>
      </c>
      <c r="G284" s="8">
        <f>IF(messy_sales!G284="", "Missing" , messy_sales!G284)</f>
        <v>739.97</v>
      </c>
    </row>
    <row r="285">
      <c r="A285" s="9" t="str">
        <f>messy_sales!A285</f>
        <v>ORD-01284</v>
      </c>
      <c r="B285" s="10">
        <f>IFERROR(DATEVALUE(messy_sales!B285), "Invalid Date")</f>
        <v>45579</v>
      </c>
      <c r="C285" s="9" t="str">
        <f>TRIM(messy_sales!C285)</f>
        <v>Alpine Ski House</v>
      </c>
      <c r="D285" s="9" t="str">
        <f>UPPER(TRIM(messy_sales!D285))</f>
        <v>DE</v>
      </c>
      <c r="E285" s="9" t="str">
        <f>messy_sales!E285</f>
        <v>EMEA</v>
      </c>
      <c r="F285" s="9" t="str">
        <f>messy_sales!F285</f>
        <v>SMB</v>
      </c>
      <c r="G285" s="8">
        <f>IF(messy_sales!G285="", "Missing" , messy_sales!G285)</f>
        <v>1517.92</v>
      </c>
    </row>
    <row r="286">
      <c r="A286" s="9" t="str">
        <f>messy_sales!A286</f>
        <v>ORD-01285</v>
      </c>
      <c r="B286" s="10">
        <f>IFERROR(DATEVALUE(messy_sales!B286), "Invalid Date")</f>
        <v>45484</v>
      </c>
      <c r="C286" s="9" t="str">
        <f>TRIM(messy_sales!C286)</f>
        <v>Blue Yonder Airlines</v>
      </c>
      <c r="D286" s="9" t="str">
        <f>UPPER(TRIM(messy_sales!D286))</f>
        <v>US</v>
      </c>
      <c r="E286" s="9" t="str">
        <f>messy_sales!E286</f>
        <v>North America</v>
      </c>
      <c r="F286" s="9" t="str">
        <f>messy_sales!F286</f>
        <v>Enterprise</v>
      </c>
      <c r="G286" s="8">
        <f>IF(messy_sales!G286="", "Missing" , messy_sales!G286)</f>
        <v>23030.2</v>
      </c>
    </row>
    <row r="287">
      <c r="A287" s="9" t="str">
        <f>messy_sales!A287</f>
        <v>ORD-01286</v>
      </c>
      <c r="B287" s="10">
        <f>IFERROR(DATEVALUE(messy_sales!B287), "Invalid Date")</f>
        <v>45348</v>
      </c>
      <c r="C287" s="9" t="str">
        <f>TRIM(messy_sales!C287)</f>
        <v>Coho Vineyard</v>
      </c>
      <c r="D287" s="9" t="str">
        <f>UPPER(TRIM(messy_sales!D287))</f>
        <v>US</v>
      </c>
      <c r="E287" s="9" t="str">
        <f>messy_sales!E287</f>
        <v>North America</v>
      </c>
      <c r="F287" s="9" t="str">
        <f>messy_sales!F287</f>
        <v>SMB</v>
      </c>
      <c r="G287" s="8">
        <f>IF(messy_sales!G287="", "Missing" , messy_sales!G287)</f>
        <v>563.9</v>
      </c>
    </row>
    <row r="288">
      <c r="A288" s="9" t="str">
        <f>messy_sales!A288</f>
        <v>ORD-01287</v>
      </c>
      <c r="B288" s="10">
        <f>IFERROR(DATEVALUE(messy_sales!B288), "Invalid Date")</f>
        <v>45576</v>
      </c>
      <c r="C288" s="9" t="str">
        <f>TRIM(messy_sales!C288)</f>
        <v>Litware Systems</v>
      </c>
      <c r="D288" s="9" t="str">
        <f>UPPER(TRIM(messy_sales!D288))</f>
        <v>GB</v>
      </c>
      <c r="E288" s="9" t="str">
        <f>messy_sales!E288</f>
        <v>EMEA</v>
      </c>
      <c r="F288" s="9" t="str">
        <f>messy_sales!F288</f>
        <v>Enterprise</v>
      </c>
      <c r="G288" s="8">
        <f>IF(messy_sales!G288="", "Missing" , messy_sales!G288)</f>
        <v>35172.31</v>
      </c>
    </row>
    <row r="289">
      <c r="A289" s="9" t="str">
        <f>messy_sales!A289</f>
        <v>ORD-01288</v>
      </c>
      <c r="B289" s="10">
        <f>IFERROR(DATEVALUE(messy_sales!B289), "Invalid Date")</f>
        <v>45585</v>
      </c>
      <c r="C289" s="9" t="str">
        <f>TRIM(messy_sales!C289)</f>
        <v>Graphic Design Institute</v>
      </c>
      <c r="D289" s="9" t="str">
        <f>UPPER(TRIM(messy_sales!D289))</f>
        <v>GB</v>
      </c>
      <c r="E289" s="9" t="str">
        <f>messy_sales!E289</f>
        <v>EMEA</v>
      </c>
      <c r="F289" s="9" t="str">
        <f>messy_sales!F289</f>
        <v>SMB</v>
      </c>
      <c r="G289" s="8">
        <f>IF(messy_sales!G289="", "Missing" , messy_sales!G289)</f>
        <v>3000.83</v>
      </c>
    </row>
    <row r="290">
      <c r="A290" s="9" t="str">
        <f>messy_sales!A290</f>
        <v>ORD-01289</v>
      </c>
      <c r="B290" s="10">
        <f>IFERROR(DATEVALUE(messy_sales!B290), "Invalid Date")</f>
        <v>45482</v>
      </c>
      <c r="C290" s="9" t="str">
        <f>TRIM(messy_sales!C290)</f>
        <v>Lion City Traders</v>
      </c>
      <c r="D290" s="9" t="str">
        <f>UPPER(TRIM(messy_sales!D290))</f>
        <v>SG</v>
      </c>
      <c r="E290" s="9" t="str">
        <f>messy_sales!E290</f>
        <v>APAC</v>
      </c>
      <c r="F290" s="9" t="str">
        <f>messy_sales!F290</f>
        <v>Mid-Market</v>
      </c>
      <c r="G290" s="8">
        <f>IF(messy_sales!G290="", "Missing" , messy_sales!G290)</f>
        <v>3166.17</v>
      </c>
    </row>
    <row r="291">
      <c r="A291" s="9" t="str">
        <f>messy_sales!A291</f>
        <v>ORD-01290</v>
      </c>
      <c r="B291" s="10">
        <f>IFERROR(DATEVALUE(messy_sales!B291), "Invalid Date")</f>
        <v>45589</v>
      </c>
      <c r="C291" s="9" t="str">
        <f>TRIM(messy_sales!C291)</f>
        <v>Sydney Harbour Goods</v>
      </c>
      <c r="D291" s="9" t="str">
        <f>UPPER(TRIM(messy_sales!D291))</f>
        <v>AU</v>
      </c>
      <c r="E291" s="9" t="str">
        <f>messy_sales!E291</f>
        <v>APAC</v>
      </c>
      <c r="F291" s="9" t="str">
        <f>messy_sales!F291</f>
        <v>SMB</v>
      </c>
      <c r="G291" s="8">
        <f>IF(messy_sales!G291="", "Missing" , messy_sales!G291)</f>
        <v>675.92</v>
      </c>
    </row>
    <row r="292">
      <c r="A292" s="9" t="str">
        <f>messy_sales!A292</f>
        <v>ORD-01291</v>
      </c>
      <c r="B292" s="10">
        <f>IFERROR(DATEVALUE(messy_sales!B292), "Invalid Date")</f>
        <v>45468</v>
      </c>
      <c r="C292" s="9" t="str">
        <f>TRIM(messy_sales!C292)</f>
        <v>Northwind Traders</v>
      </c>
      <c r="D292" s="9" t="str">
        <f>UPPER(TRIM(messy_sales!D292))</f>
        <v>US</v>
      </c>
      <c r="E292" s="9" t="str">
        <f>messy_sales!E292</f>
        <v>North America</v>
      </c>
      <c r="F292" s="9" t="str">
        <f>messy_sales!F292</f>
        <v>Enterprise</v>
      </c>
      <c r="G292" s="8">
        <f>IF(messy_sales!G292="", "Missing" , messy_sales!G292)</f>
        <v>16464.9</v>
      </c>
    </row>
    <row r="293">
      <c r="A293" s="9" t="str">
        <f>messy_sales!A293</f>
        <v>ORD-01292</v>
      </c>
      <c r="B293" s="10">
        <f>IFERROR(DATEVALUE(messy_sales!B293), "Invalid Date")</f>
        <v>45319</v>
      </c>
      <c r="C293" s="9" t="str">
        <f>TRIM(messy_sales!C293)</f>
        <v>Maple Leaf Distributors</v>
      </c>
      <c r="D293" s="9" t="str">
        <f>UPPER(TRIM(messy_sales!D293))</f>
        <v>CA</v>
      </c>
      <c r="E293" s="9" t="str">
        <f>messy_sales!E293</f>
        <v>North America</v>
      </c>
      <c r="F293" s="9" t="str">
        <f>messy_sales!F293</f>
        <v>Enterprise</v>
      </c>
      <c r="G293" s="8">
        <f>IF(messy_sales!G293="", "Missing" , messy_sales!G293)</f>
        <v>23986.95</v>
      </c>
    </row>
    <row r="294">
      <c r="A294" s="9" t="str">
        <f>messy_sales!A294</f>
        <v>ORD-01293</v>
      </c>
      <c r="B294" s="10">
        <f>IFERROR(DATEVALUE(messy_sales!B294), "Invalid Date")</f>
        <v>45647</v>
      </c>
      <c r="C294" s="9" t="str">
        <f>TRIM(messy_sales!C294)</f>
        <v>Coho Vineyard</v>
      </c>
      <c r="D294" s="9" t="str">
        <f>UPPER(TRIM(messy_sales!D294))</f>
        <v>US</v>
      </c>
      <c r="E294" s="9" t="str">
        <f>messy_sales!E294</f>
        <v>North America</v>
      </c>
      <c r="F294" s="9" t="str">
        <f>messy_sales!F294</f>
        <v>SMB</v>
      </c>
      <c r="G294" s="8">
        <f>IF(messy_sales!G294="", "Missing" , messy_sales!G294)</f>
        <v>3256.07</v>
      </c>
    </row>
    <row r="295">
      <c r="A295" s="9" t="str">
        <f>messy_sales!A295</f>
        <v>ORD-01294</v>
      </c>
      <c r="B295" s="10">
        <f>IFERROR(DATEVALUE(messy_sales!B295), "Invalid Date")</f>
        <v>45606</v>
      </c>
      <c r="C295" s="9" t="str">
        <f>TRIM(messy_sales!C295)</f>
        <v>Lion City Traders</v>
      </c>
      <c r="D295" s="9" t="str">
        <f>UPPER(TRIM(messy_sales!D295))</f>
        <v>SG</v>
      </c>
      <c r="E295" s="9" t="str">
        <f>messy_sales!E295</f>
        <v>APAC</v>
      </c>
      <c r="F295" s="9" t="str">
        <f>messy_sales!F295</f>
        <v>Mid-Market</v>
      </c>
      <c r="G295" s="8">
        <f>IF(messy_sales!G295="", "Missing" , messy_sales!G295)</f>
        <v>11129.16</v>
      </c>
    </row>
    <row r="296">
      <c r="A296" s="9" t="str">
        <f>messy_sales!A296</f>
        <v>ORD-01295</v>
      </c>
      <c r="B296" s="10">
        <f>IFERROR(DATEVALUE(messy_sales!B296), "Invalid Date")</f>
        <v>45407</v>
      </c>
      <c r="C296" s="9" t="str">
        <f>TRIM(messy_sales!C296)</f>
        <v>Lion City Traders</v>
      </c>
      <c r="D296" s="9" t="str">
        <f>UPPER(TRIM(messy_sales!D296))</f>
        <v>SG</v>
      </c>
      <c r="E296" s="9" t="str">
        <f>messy_sales!E296</f>
        <v>APAC</v>
      </c>
      <c r="F296" s="9" t="str">
        <f>messy_sales!F296</f>
        <v>Mid-Market</v>
      </c>
      <c r="G296" s="8">
        <f>IF(messy_sales!G296="", "Missing" , messy_sales!G296)</f>
        <v>5457.56</v>
      </c>
    </row>
    <row r="297">
      <c r="A297" s="9" t="str">
        <f>messy_sales!A297</f>
        <v>ORD-01296</v>
      </c>
      <c r="B297" s="10">
        <f>IFERROR(DATEVALUE(messy_sales!B297), "Invalid Date")</f>
        <v>45646</v>
      </c>
      <c r="C297" s="9" t="str">
        <f>TRIM(messy_sales!C297)</f>
        <v>Emirates Retail Group</v>
      </c>
      <c r="D297" s="9" t="str">
        <f>UPPER(TRIM(messy_sales!D297))</f>
        <v>AE</v>
      </c>
      <c r="E297" s="9" t="str">
        <f>messy_sales!E297</f>
        <v>EMEA</v>
      </c>
      <c r="F297" s="9" t="str">
        <f>messy_sales!F297</f>
        <v>Enterprise</v>
      </c>
      <c r="G297" s="8">
        <f>IF(messy_sales!G297="", "Missing" , messy_sales!G297)</f>
        <v>11129.98</v>
      </c>
    </row>
    <row r="298">
      <c r="A298" s="9" t="str">
        <f>messy_sales!A298</f>
        <v>ORD-01297</v>
      </c>
      <c r="B298" s="10">
        <f>IFERROR(DATEVALUE(messy_sales!B298), "Invalid Date")</f>
        <v>45697</v>
      </c>
      <c r="C298" s="9" t="str">
        <f>TRIM(messy_sales!C298)</f>
        <v>Blue Yonder Airlines</v>
      </c>
      <c r="D298" s="9" t="str">
        <f>UPPER(TRIM(messy_sales!D298))</f>
        <v>US</v>
      </c>
      <c r="E298" s="9" t="str">
        <f>messy_sales!E298</f>
        <v>North America</v>
      </c>
      <c r="F298" s="9" t="str">
        <f>messy_sales!F298</f>
        <v>Enterprise</v>
      </c>
      <c r="G298" s="8">
        <f>IF(messy_sales!G298="", "Missing" , messy_sales!G298)</f>
        <v>40799.93</v>
      </c>
    </row>
    <row r="299">
      <c r="A299" s="9" t="str">
        <f>messy_sales!A299</f>
        <v>ORD-01298</v>
      </c>
      <c r="B299" s="10">
        <f>IFERROR(DATEVALUE(messy_sales!B299), "Invalid Date")</f>
        <v>45711</v>
      </c>
      <c r="C299" s="9" t="str">
        <f>TRIM(messy_sales!C299)</f>
        <v>Fabrikam Inc</v>
      </c>
      <c r="D299" s="9" t="str">
        <f>UPPER(TRIM(messy_sales!D299))</f>
        <v>US</v>
      </c>
      <c r="E299" s="9" t="str">
        <f>messy_sales!E299</f>
        <v>North America</v>
      </c>
      <c r="F299" s="9" t="str">
        <f>messy_sales!F299</f>
        <v>Mid-Market</v>
      </c>
      <c r="G299" s="8">
        <f>IF(messy_sales!G299="", "Missing" , messy_sales!G299)</f>
        <v>3853.62</v>
      </c>
    </row>
    <row r="300">
      <c r="A300" s="9" t="str">
        <f>messy_sales!A300</f>
        <v>ORD-01299</v>
      </c>
      <c r="B300" s="10">
        <f>IFERROR(DATEVALUE(messy_sales!B300), "Invalid Date")</f>
        <v>45451</v>
      </c>
      <c r="C300" s="9" t="str">
        <f>TRIM(messy_sales!C300)</f>
        <v>Adventure Works</v>
      </c>
      <c r="D300" s="9" t="str">
        <f>UPPER(TRIM(messy_sales!D300))</f>
        <v>CA</v>
      </c>
      <c r="E300" s="9" t="str">
        <f>messy_sales!E300</f>
        <v>North America</v>
      </c>
      <c r="F300" s="9" t="str">
        <f>messy_sales!F300</f>
        <v>Mid-Market</v>
      </c>
      <c r="G300" s="8">
        <f>IF(messy_sales!G300="", "Missing" , messy_sales!G300)</f>
        <v>3226.73</v>
      </c>
    </row>
    <row r="301">
      <c r="A301" s="9" t="str">
        <f>messy_sales!A301</f>
        <v>ORD-01300</v>
      </c>
      <c r="B301" s="10">
        <f>IFERROR(DATEVALUE(messy_sales!B301), "Invalid Date")</f>
        <v>45400</v>
      </c>
      <c r="C301" s="9" t="str">
        <f>TRIM(messy_sales!C301)</f>
        <v>Thames Valley Foods</v>
      </c>
      <c r="D301" s="9" t="str">
        <f>UPPER(TRIM(messy_sales!D301))</f>
        <v>GB</v>
      </c>
      <c r="E301" s="9" t="str">
        <f>messy_sales!E301</f>
        <v>EMEA</v>
      </c>
      <c r="F301" s="9" t="str">
        <f>messy_sales!F301</f>
        <v>Mid-Market</v>
      </c>
      <c r="G301" s="8">
        <f>IF(messy_sales!G301="", "Missing" , messy_sales!G301)</f>
        <v>5822.31</v>
      </c>
    </row>
    <row r="302">
      <c r="A302" s="9" t="str">
        <f>messy_sales!A302</f>
        <v>ORD-01301</v>
      </c>
      <c r="B302" s="10">
        <f>IFERROR(DATEVALUE(messy_sales!B302), "Invalid Date")</f>
        <v>45303</v>
      </c>
      <c r="C302" s="9" t="str">
        <f>TRIM(messy_sales!C302)</f>
        <v>Hanseatic Imports</v>
      </c>
      <c r="D302" s="9" t="str">
        <f>UPPER(TRIM(messy_sales!D302))</f>
        <v>DE</v>
      </c>
      <c r="E302" s="9" t="str">
        <f>messy_sales!E302</f>
        <v>EMEA</v>
      </c>
      <c r="F302" s="9" t="str">
        <f>messy_sales!F302</f>
        <v>SMB</v>
      </c>
      <c r="G302" s="8">
        <f>IF(messy_sales!G302="", "Missing" , messy_sales!G302)</f>
        <v>530.97</v>
      </c>
    </row>
    <row r="303">
      <c r="A303" s="9" t="str">
        <f>messy_sales!A303</f>
        <v>ORD-01302</v>
      </c>
      <c r="B303" s="10">
        <f>IFERROR(DATEVALUE(messy_sales!B303), "Invalid Date")</f>
        <v>45643</v>
      </c>
      <c r="C303" s="9" t="str">
        <f>TRIM(messy_sales!C303)</f>
        <v>Great Barrier Retail</v>
      </c>
      <c r="D303" s="9" t="str">
        <f>UPPER(TRIM(messy_sales!D303))</f>
        <v>AU</v>
      </c>
      <c r="E303" s="9" t="str">
        <f>messy_sales!E303</f>
        <v>APAC</v>
      </c>
      <c r="F303" s="9" t="str">
        <f>messy_sales!F303</f>
        <v>SMB</v>
      </c>
      <c r="G303" s="8">
        <f>IF(messy_sales!G303="", "Missing" , messy_sales!G303)</f>
        <v>1962.68</v>
      </c>
    </row>
    <row r="304">
      <c r="A304" s="9" t="str">
        <f>messy_sales!A304</f>
        <v>ORD-01303</v>
      </c>
      <c r="B304" s="10" t="str">
        <f>IFERROR(DATEVALUE(messy_sales!B304), "Invalid Date")</f>
        <v>Invalid Date</v>
      </c>
      <c r="C304" s="9" t="str">
        <f>TRIM(messy_sales!C304)</f>
        <v>Great Barrier Retail</v>
      </c>
      <c r="D304" s="9" t="str">
        <f>UPPER(TRIM(messy_sales!D304))</f>
        <v>AU</v>
      </c>
      <c r="E304" s="9" t="str">
        <f>messy_sales!E304</f>
        <v>APAC</v>
      </c>
      <c r="F304" s="9" t="str">
        <f>messy_sales!F304</f>
        <v>SMB</v>
      </c>
      <c r="G304" s="8">
        <f>IF(messy_sales!G304="", "Missing" , messy_sales!G304)</f>
        <v>330</v>
      </c>
    </row>
    <row r="305">
      <c r="A305" s="9" t="str">
        <f>messy_sales!A305</f>
        <v>ORD-01304</v>
      </c>
      <c r="B305" s="10">
        <f>IFERROR(DATEVALUE(messy_sales!B305), "Invalid Date")</f>
        <v>45790</v>
      </c>
      <c r="C305" s="9" t="str">
        <f>TRIM(messy_sales!C305)</f>
        <v>Tailspin Toys</v>
      </c>
      <c r="D305" s="9" t="str">
        <f>UPPER(TRIM(messy_sales!D305))</f>
        <v>CA</v>
      </c>
      <c r="E305" s="9" t="str">
        <f>messy_sales!E305</f>
        <v>North America</v>
      </c>
      <c r="F305" s="9" t="str">
        <f>messy_sales!F305</f>
        <v>SMB</v>
      </c>
      <c r="G305" s="8">
        <f>IF(messy_sales!G305="", "Missing" , messy_sales!G305)</f>
        <v>3402.8</v>
      </c>
    </row>
    <row r="306">
      <c r="A306" s="9" t="str">
        <f>messy_sales!A306</f>
        <v>ORD-01305</v>
      </c>
      <c r="B306" s="10">
        <f>IFERROR(DATEVALUE(messy_sales!B306), "Invalid Date")</f>
        <v>45782</v>
      </c>
      <c r="C306" s="9" t="str">
        <f>TRIM(messy_sales!C306)</f>
        <v>Alpine Ski House</v>
      </c>
      <c r="D306" s="9" t="str">
        <f>UPPER(TRIM(messy_sales!D306))</f>
        <v>DE</v>
      </c>
      <c r="E306" s="9" t="str">
        <f>messy_sales!E306</f>
        <v>EMEA</v>
      </c>
      <c r="F306" s="9" t="str">
        <f>messy_sales!F306</f>
        <v>SMB</v>
      </c>
      <c r="G306" s="8" t="str">
        <f>IF(messy_sales!G306="", "Missing" , messy_sales!G306)</f>
        <v>Missing</v>
      </c>
    </row>
    <row r="307">
      <c r="A307" s="9" t="str">
        <f>messy_sales!A307</f>
        <v>ORD-01306</v>
      </c>
      <c r="B307" s="10">
        <f>IFERROR(DATEVALUE(messy_sales!B307), "Invalid Date")</f>
        <v>45314</v>
      </c>
      <c r="C307" s="9" t="str">
        <f>TRIM(messy_sales!C307)</f>
        <v>Maple Leaf Distributors</v>
      </c>
      <c r="D307" s="9" t="str">
        <f>UPPER(TRIM(messy_sales!D307))</f>
        <v>CA</v>
      </c>
      <c r="E307" s="9" t="str">
        <f>messy_sales!E307</f>
        <v>North America</v>
      </c>
      <c r="F307" s="9" t="str">
        <f>messy_sales!F307</f>
        <v>Enterprise</v>
      </c>
      <c r="G307" s="8">
        <f>IF(messy_sales!G307="", "Missing" , messy_sales!G307)</f>
        <v>15676.25</v>
      </c>
    </row>
    <row r="308">
      <c r="A308" s="9" t="str">
        <f>messy_sales!A308</f>
        <v>ORD-01307</v>
      </c>
      <c r="B308" s="10">
        <f>IFERROR(DATEVALUE(messy_sales!B308), "Invalid Date")</f>
        <v>45715</v>
      </c>
      <c r="C308" s="9" t="str">
        <f>TRIM(messy_sales!C308)</f>
        <v>Litware Systems</v>
      </c>
      <c r="D308" s="9" t="str">
        <f>UPPER(TRIM(messy_sales!D308))</f>
        <v>GB</v>
      </c>
      <c r="E308" s="9" t="str">
        <f>messy_sales!E308</f>
        <v>EMEA</v>
      </c>
      <c r="F308" s="9" t="str">
        <f>messy_sales!F308</f>
        <v>Enterprise</v>
      </c>
      <c r="G308" s="8">
        <f>IF(messy_sales!G308="", "Missing" , messy_sales!G308)</f>
        <v>29914.68</v>
      </c>
    </row>
    <row r="309">
      <c r="A309" s="9" t="str">
        <f>messy_sales!A309</f>
        <v>ORD-01308</v>
      </c>
      <c r="B309" s="10">
        <f>IFERROR(DATEVALUE(messy_sales!B309), "Invalid Date")</f>
        <v>45532</v>
      </c>
      <c r="C309" s="9" t="str">
        <f>TRIM(messy_sales!C309)</f>
        <v>Hanseatic Imports</v>
      </c>
      <c r="D309" s="9" t="str">
        <f>UPPER(TRIM(messy_sales!D309))</f>
        <v>DE</v>
      </c>
      <c r="E309" s="9" t="str">
        <f>messy_sales!E309</f>
        <v>EMEA</v>
      </c>
      <c r="F309" s="9" t="str">
        <f>messy_sales!F309</f>
        <v>SMB</v>
      </c>
      <c r="G309" s="8">
        <f>IF(messy_sales!G309="", "Missing" , messy_sales!G309)</f>
        <v>2786.63</v>
      </c>
    </row>
    <row r="310">
      <c r="A310" s="9" t="str">
        <f>messy_sales!A310</f>
        <v>ORD-01309</v>
      </c>
      <c r="B310" s="10">
        <f>IFERROR(DATEVALUE(messy_sales!B310), "Invalid Date")</f>
        <v>45626</v>
      </c>
      <c r="C310" s="9" t="str">
        <f>TRIM(messy_sales!C310)</f>
        <v>Delhi Textiles</v>
      </c>
      <c r="D310" s="9" t="str">
        <f>UPPER(TRIM(messy_sales!D310))</f>
        <v>IN</v>
      </c>
      <c r="E310" s="9" t="str">
        <f>messy_sales!E310</f>
        <v>APAC</v>
      </c>
      <c r="F310" s="9" t="str">
        <f>messy_sales!F310</f>
        <v>SMB</v>
      </c>
      <c r="G310" s="8">
        <f>IF(messy_sales!G310="", "Missing" , messy_sales!G310)</f>
        <v>2939.78</v>
      </c>
    </row>
    <row r="311">
      <c r="A311" s="9" t="str">
        <f>messy_sales!A311</f>
        <v>ORD-01310</v>
      </c>
      <c r="B311" s="10">
        <f>IFERROR(DATEVALUE(messy_sales!B311), "Invalid Date")</f>
        <v>45790</v>
      </c>
      <c r="C311" s="9" t="str">
        <f>TRIM(messy_sales!C311)</f>
        <v>Mumbai Fresh Foods</v>
      </c>
      <c r="D311" s="9" t="str">
        <f>UPPER(TRIM(messy_sales!D311))</f>
        <v>IN</v>
      </c>
      <c r="E311" s="9" t="str">
        <f>messy_sales!E311</f>
        <v>APAC</v>
      </c>
      <c r="F311" s="9" t="str">
        <f>messy_sales!F311</f>
        <v>SMB</v>
      </c>
      <c r="G311" s="8">
        <f>IF(messy_sales!G311="", "Missing" , messy_sales!G311)</f>
        <v>1959.19</v>
      </c>
    </row>
    <row r="312">
      <c r="A312" s="9" t="str">
        <f>messy_sales!A312</f>
        <v>ORD-01311</v>
      </c>
      <c r="B312" s="10">
        <f>IFERROR(DATEVALUE(messy_sales!B312), "Invalid Date")</f>
        <v>45732</v>
      </c>
      <c r="C312" s="9" t="str">
        <f>TRIM(messy_sales!C312)</f>
        <v>Mumbai Fresh Foods</v>
      </c>
      <c r="D312" s="9" t="str">
        <f>UPPER(TRIM(messy_sales!D312))</f>
        <v>IN</v>
      </c>
      <c r="E312" s="9" t="str">
        <f>messy_sales!E312</f>
        <v>APAC</v>
      </c>
      <c r="F312" s="9" t="str">
        <f>messy_sales!F312</f>
        <v>SMB</v>
      </c>
      <c r="G312" s="8">
        <f>IF(messy_sales!G312="", "Missing" , messy_sales!G312)</f>
        <v>3481.97</v>
      </c>
    </row>
    <row r="313">
      <c r="A313" s="9" t="str">
        <f>messy_sales!A313</f>
        <v>ORD-01312</v>
      </c>
      <c r="B313" s="10">
        <f>IFERROR(DATEVALUE(messy_sales!B313), "Invalid Date")</f>
        <v>45342</v>
      </c>
      <c r="C313" s="9" t="str">
        <f>TRIM(messy_sales!C313)</f>
        <v>Tata Consultancy Retail</v>
      </c>
      <c r="D313" s="9" t="str">
        <f>UPPER(TRIM(messy_sales!D313))</f>
        <v>IN</v>
      </c>
      <c r="E313" s="9" t="str">
        <f>messy_sales!E313</f>
        <v>APAC</v>
      </c>
      <c r="F313" s="9" t="str">
        <f>messy_sales!F313</f>
        <v>Enterprise</v>
      </c>
      <c r="G313" s="8">
        <f>IF(messy_sales!G313="", "Missing" , messy_sales!G313)</f>
        <v>19249.2</v>
      </c>
    </row>
    <row r="314">
      <c r="A314" s="9" t="str">
        <f>messy_sales!A314</f>
        <v>ORD-01313</v>
      </c>
      <c r="B314" s="10">
        <f>IFERROR(DATEVALUE(messy_sales!B314), "Invalid Date")</f>
        <v>45476</v>
      </c>
      <c r="C314" s="9" t="str">
        <f>TRIM(messy_sales!C314)</f>
        <v>Bengaluru Softworks</v>
      </c>
      <c r="D314" s="9" t="str">
        <f>UPPER(TRIM(messy_sales!D314))</f>
        <v>IN</v>
      </c>
      <c r="E314" s="9" t="str">
        <f>messy_sales!E314</f>
        <v>APAC</v>
      </c>
      <c r="F314" s="9" t="str">
        <f>messy_sales!F314</f>
        <v>Mid-Market</v>
      </c>
      <c r="G314" s="8">
        <f>IF(messy_sales!G314="", "Missing" , messy_sales!G314)</f>
        <v>10041.97</v>
      </c>
    </row>
    <row r="315">
      <c r="A315" s="9" t="str">
        <f>messy_sales!A315</f>
        <v>ORD-01314</v>
      </c>
      <c r="B315" s="10">
        <f>IFERROR(DATEVALUE(messy_sales!B315), "Invalid Date")</f>
        <v>45539</v>
      </c>
      <c r="C315" s="9" t="str">
        <f>TRIM(messy_sales!C315)</f>
        <v>Tata Consultancy Retail</v>
      </c>
      <c r="D315" s="9" t="str">
        <f>UPPER(TRIM(messy_sales!D315))</f>
        <v>IN</v>
      </c>
      <c r="E315" s="9" t="str">
        <f>messy_sales!E315</f>
        <v>APAC</v>
      </c>
      <c r="F315" s="9" t="str">
        <f>messy_sales!F315</f>
        <v>Enterprise</v>
      </c>
      <c r="G315" s="8">
        <f>IF(messy_sales!G315="", "Missing" , messy_sales!G315)</f>
        <v>27479.94</v>
      </c>
    </row>
    <row r="316">
      <c r="A316" s="9" t="str">
        <f>messy_sales!A316</f>
        <v>ORD-01315</v>
      </c>
      <c r="B316" s="10">
        <f>IFERROR(DATEVALUE(messy_sales!B316), "Invalid Date")</f>
        <v>45690</v>
      </c>
      <c r="C316" s="9" t="str">
        <f>TRIM(messy_sales!C316)</f>
        <v>Great Barrier Retail</v>
      </c>
      <c r="D316" s="9" t="str">
        <f>UPPER(TRIM(messy_sales!D316))</f>
        <v>AU</v>
      </c>
      <c r="E316" s="9" t="str">
        <f>messy_sales!E316</f>
        <v>APAC</v>
      </c>
      <c r="F316" s="9" t="str">
        <f>messy_sales!F316</f>
        <v>SMB</v>
      </c>
      <c r="G316" s="8">
        <f>IF(messy_sales!G316="", "Missing" , messy_sales!G316)</f>
        <v>1447.33</v>
      </c>
    </row>
    <row r="317">
      <c r="A317" s="9" t="str">
        <f>messy_sales!A317</f>
        <v>ORD-01316</v>
      </c>
      <c r="B317" s="10">
        <f>IFERROR(DATEVALUE(messy_sales!B317), "Invalid Date")</f>
        <v>45650</v>
      </c>
      <c r="C317" s="9" t="str">
        <f>TRIM(messy_sales!C317)</f>
        <v>Tailspin Toys</v>
      </c>
      <c r="D317" s="9" t="str">
        <f>UPPER(TRIM(messy_sales!D317))</f>
        <v>CA</v>
      </c>
      <c r="E317" s="9" t="str">
        <f>messy_sales!E317</f>
        <v>North America</v>
      </c>
      <c r="F317" s="9" t="str">
        <f>messy_sales!F317</f>
        <v>SMB</v>
      </c>
      <c r="G317" s="8">
        <f>IF(messy_sales!G317="", "Missing" , messy_sales!G317)</f>
        <v>2953.07</v>
      </c>
    </row>
    <row r="318">
      <c r="A318" s="9" t="str">
        <f>messy_sales!A318</f>
        <v>ORD-01317</v>
      </c>
      <c r="B318" s="10" t="str">
        <f>IFERROR(DATEVALUE(messy_sales!B318), "Invalid Date")</f>
        <v>Invalid Date</v>
      </c>
      <c r="C318" s="9" t="str">
        <f>TRIM(messy_sales!C318)</f>
        <v>Litware Systems</v>
      </c>
      <c r="D318" s="9" t="str">
        <f>UPPER(TRIM(messy_sales!D318))</f>
        <v>GB</v>
      </c>
      <c r="E318" s="9" t="str">
        <f>messy_sales!E318</f>
        <v>EMEA</v>
      </c>
      <c r="F318" s="9" t="str">
        <f>messy_sales!F318</f>
        <v>Enterprise</v>
      </c>
      <c r="G318" s="8">
        <f>IF(messy_sales!G318="", "Missing" , messy_sales!G318)</f>
        <v>31064.43</v>
      </c>
    </row>
    <row r="319">
      <c r="A319" s="9" t="str">
        <f>messy_sales!A319</f>
        <v>ORD-01318</v>
      </c>
      <c r="B319" s="10">
        <f>IFERROR(DATEVALUE(messy_sales!B319), "Invalid Date")</f>
        <v>45518</v>
      </c>
      <c r="C319" s="9" t="str">
        <f>TRIM(messy_sales!C319)</f>
        <v>Proseware GmbH</v>
      </c>
      <c r="D319" s="9" t="str">
        <f>UPPER(TRIM(messy_sales!D319))</f>
        <v>DE</v>
      </c>
      <c r="E319" s="9" t="str">
        <f>messy_sales!E319</f>
        <v>EMEA</v>
      </c>
      <c r="F319" s="9" t="str">
        <f>messy_sales!F319</f>
        <v>Enterprise</v>
      </c>
      <c r="G319" s="8">
        <f>IF(messy_sales!G319="", "Missing" , messy_sales!G319)</f>
        <v>26629.19</v>
      </c>
    </row>
    <row r="320">
      <c r="A320" s="9" t="str">
        <f>messy_sales!A320</f>
        <v>ORD-01319</v>
      </c>
      <c r="B320" s="10">
        <f>IFERROR(DATEVALUE(messy_sales!B320), "Invalid Date")</f>
        <v>45340</v>
      </c>
      <c r="C320" s="9" t="str">
        <f>TRIM(messy_sales!C320)</f>
        <v>Bengaluru Softworks</v>
      </c>
      <c r="D320" s="9" t="str">
        <f>UPPER(TRIM(messy_sales!D320))</f>
        <v>IN</v>
      </c>
      <c r="E320" s="9" t="str">
        <f>messy_sales!E320</f>
        <v>APAC</v>
      </c>
      <c r="F320" s="9" t="str">
        <f>messy_sales!F320</f>
        <v>Mid-Market</v>
      </c>
      <c r="G320" s="8">
        <f>IF(messy_sales!G320="", "Missing" , messy_sales!G320)</f>
        <v>11902.7</v>
      </c>
    </row>
    <row r="321">
      <c r="A321" s="9" t="str">
        <f>messy_sales!A321</f>
        <v>ORD-01320</v>
      </c>
      <c r="B321" s="10">
        <f>IFERROR(DATEVALUE(messy_sales!B321), "Invalid Date")</f>
        <v>45621</v>
      </c>
      <c r="C321" s="9" t="str">
        <f>TRIM(messy_sales!C321)</f>
        <v>Lion City Traders</v>
      </c>
      <c r="D321" s="9" t="str">
        <f>UPPER(TRIM(messy_sales!D321))</f>
        <v>SG</v>
      </c>
      <c r="E321" s="9" t="str">
        <f>messy_sales!E321</f>
        <v>APAC</v>
      </c>
      <c r="F321" s="9" t="str">
        <f>messy_sales!F321</f>
        <v>Mid-Market</v>
      </c>
      <c r="G321" s="8">
        <f>IF(messy_sales!G321="", "Missing" , messy_sales!G321)</f>
        <v>6143.73</v>
      </c>
    </row>
    <row r="322">
      <c r="A322" s="9" t="str">
        <f>messy_sales!A322</f>
        <v>ORD-01321</v>
      </c>
      <c r="B322" s="10">
        <f>IFERROR(DATEVALUE(messy_sales!B322), "Invalid Date")</f>
        <v>45440</v>
      </c>
      <c r="C322" s="9" t="str">
        <f>TRIM(messy_sales!C322)</f>
        <v>Proseware GmbH</v>
      </c>
      <c r="D322" s="9" t="str">
        <f>UPPER(TRIM(messy_sales!D322))</f>
        <v>DE</v>
      </c>
      <c r="E322" s="9" t="str">
        <f>messy_sales!E322</f>
        <v>EMEA</v>
      </c>
      <c r="F322" s="9" t="str">
        <f>messy_sales!F322</f>
        <v>Enterprise</v>
      </c>
      <c r="G322" s="8">
        <f>IF(messy_sales!G322="", "Missing" , messy_sales!G322)</f>
        <v>28309.78</v>
      </c>
    </row>
    <row r="323">
      <c r="A323" s="9" t="str">
        <f>messy_sales!A323</f>
        <v>ORD-01322</v>
      </c>
      <c r="B323" s="10">
        <f>IFERROR(DATEVALUE(messy_sales!B323), "Invalid Date")</f>
        <v>45739</v>
      </c>
      <c r="C323" s="9" t="str">
        <f>TRIM(messy_sales!C323)</f>
        <v>Hanseatic Imports</v>
      </c>
      <c r="D323" s="9" t="str">
        <f>UPPER(TRIM(messy_sales!D323))</f>
        <v>DE</v>
      </c>
      <c r="E323" s="9" t="str">
        <f>messy_sales!E323</f>
        <v>EMEA</v>
      </c>
      <c r="F323" s="9" t="str">
        <f>messy_sales!F323</f>
        <v>SMB</v>
      </c>
      <c r="G323" s="8">
        <f>IF(messy_sales!G323="", "Missing" , messy_sales!G323)</f>
        <v>2523.86</v>
      </c>
    </row>
    <row r="324">
      <c r="A324" s="9" t="str">
        <f>messy_sales!A324</f>
        <v>ORD-01323</v>
      </c>
      <c r="B324" s="10" t="str">
        <f>IFERROR(DATEVALUE(messy_sales!B324), "Invalid Date")</f>
        <v>Invalid Date</v>
      </c>
      <c r="C324" s="9" t="str">
        <f>TRIM(messy_sales!C324)</f>
        <v>Blue Yonder Airlines</v>
      </c>
      <c r="D324" s="9" t="str">
        <f>UPPER(TRIM(messy_sales!D324))</f>
        <v>US</v>
      </c>
      <c r="E324" s="9" t="str">
        <f>messy_sales!E324</f>
        <v>North America</v>
      </c>
      <c r="F324" s="9" t="str">
        <f>messy_sales!F324</f>
        <v>Enterprise</v>
      </c>
      <c r="G324" s="8">
        <f>IF(messy_sales!G324="", "Missing" , messy_sales!G324)</f>
        <v>22349.51</v>
      </c>
    </row>
    <row r="325">
      <c r="A325" s="9" t="str">
        <f>messy_sales!A325</f>
        <v>ORD-01324</v>
      </c>
      <c r="B325" s="10" t="str">
        <f>IFERROR(DATEVALUE(messy_sales!B325), "Invalid Date")</f>
        <v>Invalid Date</v>
      </c>
      <c r="C325" s="9" t="str">
        <f>TRIM(messy_sales!C325)</f>
        <v>Northwind Traders</v>
      </c>
      <c r="D325" s="9" t="str">
        <f>UPPER(TRIM(messy_sales!D325))</f>
        <v>US</v>
      </c>
      <c r="E325" s="9" t="str">
        <f>messy_sales!E325</f>
        <v>North America</v>
      </c>
      <c r="F325" s="9" t="str">
        <f>messy_sales!F325</f>
        <v>Enterprise</v>
      </c>
      <c r="G325" s="8">
        <f>IF(messy_sales!G325="", "Missing" , messy_sales!G325)</f>
        <v>29186.94</v>
      </c>
    </row>
    <row r="326">
      <c r="A326" s="9" t="str">
        <f>messy_sales!A326</f>
        <v>ORD-01325</v>
      </c>
      <c r="B326" s="10">
        <f>IFERROR(DATEVALUE(messy_sales!B326), "Invalid Date")</f>
        <v>45567</v>
      </c>
      <c r="C326" s="9" t="str">
        <f>TRIM(messy_sales!C326)</f>
        <v>Alpine Ski House</v>
      </c>
      <c r="D326" s="9" t="str">
        <f>UPPER(TRIM(messy_sales!D326))</f>
        <v>DE</v>
      </c>
      <c r="E326" s="9" t="str">
        <f>messy_sales!E326</f>
        <v>EMEA</v>
      </c>
      <c r="F326" s="9" t="str">
        <f>messy_sales!F326</f>
        <v>SMB</v>
      </c>
      <c r="G326" s="8">
        <f>IF(messy_sales!G326="", "Missing" , messy_sales!G326)</f>
        <v>904.1</v>
      </c>
    </row>
    <row r="327">
      <c r="A327" s="9" t="str">
        <f>messy_sales!A327</f>
        <v>ORD-01326</v>
      </c>
      <c r="B327" s="10">
        <f>IFERROR(DATEVALUE(messy_sales!B327), "Invalid Date")</f>
        <v>45617</v>
      </c>
      <c r="C327" s="9" t="str">
        <f>TRIM(messy_sales!C327)</f>
        <v>Tata Consultancy Retail</v>
      </c>
      <c r="D327" s="9" t="str">
        <f>UPPER(TRIM(messy_sales!D327))</f>
        <v>IN</v>
      </c>
      <c r="E327" s="9" t="str">
        <f>messy_sales!E327</f>
        <v>APAC</v>
      </c>
      <c r="F327" s="9" t="str">
        <f>messy_sales!F327</f>
        <v>Enterprise</v>
      </c>
      <c r="G327" s="8">
        <f>IF(messy_sales!G327="", "Missing" , messy_sales!G327)</f>
        <v>26766.65</v>
      </c>
    </row>
    <row r="328">
      <c r="A328" s="9" t="str">
        <f>messy_sales!A328</f>
        <v>ORD-01327</v>
      </c>
      <c r="B328" s="10">
        <f>IFERROR(DATEVALUE(messy_sales!B328), "Invalid Date")</f>
        <v>45473</v>
      </c>
      <c r="C328" s="9" t="str">
        <f>TRIM(messy_sales!C328)</f>
        <v>Coho Vineyard</v>
      </c>
      <c r="D328" s="9" t="str">
        <f>UPPER(TRIM(messy_sales!D328))</f>
        <v>US</v>
      </c>
      <c r="E328" s="9" t="str">
        <f>messy_sales!E328</f>
        <v>North America</v>
      </c>
      <c r="F328" s="9" t="str">
        <f>messy_sales!F328</f>
        <v>SMB</v>
      </c>
      <c r="G328" s="8">
        <f>IF(messy_sales!G328="", "Missing" , messy_sales!G328)</f>
        <v>2794.22</v>
      </c>
    </row>
    <row r="329">
      <c r="A329" s="9" t="str">
        <f>messy_sales!A329</f>
        <v>ORD-01328</v>
      </c>
      <c r="B329" s="10">
        <f>IFERROR(DATEVALUE(messy_sales!B329), "Invalid Date")</f>
        <v>45298</v>
      </c>
      <c r="C329" s="9" t="str">
        <f>TRIM(messy_sales!C329)</f>
        <v>Delhi Textiles</v>
      </c>
      <c r="D329" s="9" t="str">
        <f>UPPER(TRIM(messy_sales!D329))</f>
        <v>IN</v>
      </c>
      <c r="E329" s="9" t="str">
        <f>messy_sales!E329</f>
        <v>APAC</v>
      </c>
      <c r="F329" s="9" t="str">
        <f>messy_sales!F329</f>
        <v>SMB</v>
      </c>
      <c r="G329" s="8">
        <f>IF(messy_sales!G329="", "Missing" , messy_sales!G329)</f>
        <v>3181.76</v>
      </c>
    </row>
    <row r="330">
      <c r="A330" s="9" t="str">
        <f>messy_sales!A330</f>
        <v>ORD-01329</v>
      </c>
      <c r="B330" s="10">
        <f>IFERROR(DATEVALUE(messy_sales!B330), "Invalid Date")</f>
        <v>45312</v>
      </c>
      <c r="C330" s="9" t="str">
        <f>TRIM(messy_sales!C330)</f>
        <v>Bengaluru Softworks</v>
      </c>
      <c r="D330" s="9" t="str">
        <f>UPPER(TRIM(messy_sales!D330))</f>
        <v>IN</v>
      </c>
      <c r="E330" s="9" t="str">
        <f>messy_sales!E330</f>
        <v>APAC</v>
      </c>
      <c r="F330" s="9" t="str">
        <f>messy_sales!F330</f>
        <v>Mid-Market</v>
      </c>
      <c r="G330" s="8">
        <f>IF(messy_sales!G330="", "Missing" , messy_sales!G330)</f>
        <v>2989.6</v>
      </c>
    </row>
    <row r="331">
      <c r="A331" s="9" t="str">
        <f>messy_sales!A331</f>
        <v>ORD-01330</v>
      </c>
      <c r="B331" s="10" t="str">
        <f>IFERROR(DATEVALUE(messy_sales!B331), "Invalid Date")</f>
        <v>Invalid Date</v>
      </c>
      <c r="C331" s="9" t="str">
        <f>TRIM(messy_sales!C331)</f>
        <v>Emirates Retail Group</v>
      </c>
      <c r="D331" s="9" t="str">
        <f>UPPER(TRIM(messy_sales!D331))</f>
        <v>AE</v>
      </c>
      <c r="E331" s="9" t="str">
        <f>messy_sales!E331</f>
        <v>EMEA</v>
      </c>
      <c r="F331" s="9" t="str">
        <f>messy_sales!F331</f>
        <v>Enterprise</v>
      </c>
      <c r="G331" s="8">
        <f>IF(messy_sales!G331="", "Missing" , messy_sales!G331)</f>
        <v>31422.68</v>
      </c>
    </row>
    <row r="332">
      <c r="A332" s="9" t="str">
        <f>messy_sales!A332</f>
        <v>ORD-01331</v>
      </c>
      <c r="B332" s="10">
        <f>IFERROR(DATEVALUE(messy_sales!B332), "Invalid Date")</f>
        <v>45696</v>
      </c>
      <c r="C332" s="9" t="str">
        <f>TRIM(messy_sales!C332)</f>
        <v>Adventure Works</v>
      </c>
      <c r="D332" s="9" t="str">
        <f>UPPER(TRIM(messy_sales!D332))</f>
        <v>CA</v>
      </c>
      <c r="E332" s="9" t="str">
        <f>messy_sales!E332</f>
        <v>North America</v>
      </c>
      <c r="F332" s="9" t="str">
        <f>messy_sales!F332</f>
        <v>Mid-Market</v>
      </c>
      <c r="G332" s="8">
        <f>IF(messy_sales!G332="", "Missing" , messy_sales!G332)</f>
        <v>9159.91</v>
      </c>
    </row>
    <row r="333">
      <c r="A333" s="9" t="str">
        <f>messy_sales!A333</f>
        <v>ORD-01332</v>
      </c>
      <c r="B333" s="10">
        <f>IFERROR(DATEVALUE(messy_sales!B333), "Invalid Date")</f>
        <v>45670</v>
      </c>
      <c r="C333" s="9" t="str">
        <f>TRIM(messy_sales!C333)</f>
        <v>Wingtip Retail</v>
      </c>
      <c r="D333" s="9" t="str">
        <f>UPPER(TRIM(messy_sales!D333))</f>
        <v>US</v>
      </c>
      <c r="E333" s="9" t="str">
        <f>messy_sales!E333</f>
        <v>North America</v>
      </c>
      <c r="F333" s="9" t="str">
        <f>messy_sales!F333</f>
        <v>SMB</v>
      </c>
      <c r="G333" s="8">
        <f>IF(messy_sales!G333="", "Missing" , messy_sales!G333)</f>
        <v>1106.63</v>
      </c>
    </row>
    <row r="334">
      <c r="A334" s="9" t="str">
        <f>messy_sales!A334</f>
        <v>ORD-01333</v>
      </c>
      <c r="B334" s="10">
        <f>IFERROR(DATEVALUE(messy_sales!B334), "Invalid Date")</f>
        <v>45375</v>
      </c>
      <c r="C334" s="9" t="str">
        <f>TRIM(messy_sales!C334)</f>
        <v>Tata Consultancy Retail</v>
      </c>
      <c r="D334" s="9" t="str">
        <f>UPPER(TRIM(messy_sales!D334))</f>
        <v>IN</v>
      </c>
      <c r="E334" s="9" t="str">
        <f>messy_sales!E334</f>
        <v>APAC</v>
      </c>
      <c r="F334" s="9" t="str">
        <f>messy_sales!F334</f>
        <v>Enterprise</v>
      </c>
      <c r="G334" s="8">
        <f>IF(messy_sales!G334="", "Missing" , messy_sales!G334)</f>
        <v>9705.9</v>
      </c>
    </row>
    <row r="335">
      <c r="A335" s="9" t="str">
        <f>messy_sales!A335</f>
        <v>ORD-01334</v>
      </c>
      <c r="B335" s="10">
        <f>IFERROR(DATEVALUE(messy_sales!B335), "Invalid Date")</f>
        <v>45329</v>
      </c>
      <c r="C335" s="9" t="str">
        <f>TRIM(messy_sales!C335)</f>
        <v>Alpine Ski House</v>
      </c>
      <c r="D335" s="9" t="str">
        <f>UPPER(TRIM(messy_sales!D335))</f>
        <v>DE</v>
      </c>
      <c r="E335" s="9" t="str">
        <f>messy_sales!E335</f>
        <v>EMEA</v>
      </c>
      <c r="F335" s="9" t="str">
        <f>messy_sales!F335</f>
        <v>SMB</v>
      </c>
      <c r="G335" s="8">
        <f>IF(messy_sales!G335="", "Missing" , messy_sales!G335)</f>
        <v>483.4</v>
      </c>
    </row>
    <row r="336">
      <c r="A336" s="9" t="str">
        <f>messy_sales!A336</f>
        <v>ORD-01335</v>
      </c>
      <c r="B336" s="10">
        <f>IFERROR(DATEVALUE(messy_sales!B336), "Invalid Date")</f>
        <v>45572</v>
      </c>
      <c r="C336" s="9" t="str">
        <f>TRIM(messy_sales!C336)</f>
        <v>Desert Trading LLC</v>
      </c>
      <c r="D336" s="9" t="str">
        <f>UPPER(TRIM(messy_sales!D336))</f>
        <v>AE</v>
      </c>
      <c r="E336" s="9" t="str">
        <f>messy_sales!E336</f>
        <v>EMEA</v>
      </c>
      <c r="F336" s="9" t="str">
        <f>messy_sales!F336</f>
        <v>Mid-Market</v>
      </c>
      <c r="G336" s="8">
        <f>IF(messy_sales!G336="", "Missing" , messy_sales!G336)</f>
        <v>7671</v>
      </c>
    </row>
    <row r="337">
      <c r="A337" s="9" t="str">
        <f>messy_sales!A337</f>
        <v>ORD-01336</v>
      </c>
      <c r="B337" s="10">
        <f>IFERROR(DATEVALUE(messy_sales!B337), "Invalid Date")</f>
        <v>45384</v>
      </c>
      <c r="C337" s="9" t="str">
        <f>TRIM(messy_sales!C337)</f>
        <v>Coho Vineyard</v>
      </c>
      <c r="D337" s="9" t="str">
        <f>UPPER(TRIM(messy_sales!D337))</f>
        <v>US</v>
      </c>
      <c r="E337" s="9" t="str">
        <f>messy_sales!E337</f>
        <v>North America</v>
      </c>
      <c r="F337" s="9" t="str">
        <f>messy_sales!F337</f>
        <v>SMB</v>
      </c>
      <c r="G337" s="8">
        <f>IF(messy_sales!G337="", "Missing" , messy_sales!G337)</f>
        <v>2505.12</v>
      </c>
    </row>
    <row r="338">
      <c r="A338" s="9" t="str">
        <f>messy_sales!A338</f>
        <v>ORD-01337</v>
      </c>
      <c r="B338" s="10">
        <f>IFERROR(DATEVALUE(messy_sales!B338), "Invalid Date")</f>
        <v>45765</v>
      </c>
      <c r="C338" s="9" t="str">
        <f>TRIM(messy_sales!C338)</f>
        <v>Alpine Ski House</v>
      </c>
      <c r="D338" s="9" t="str">
        <f>UPPER(TRIM(messy_sales!D338))</f>
        <v>DE</v>
      </c>
      <c r="E338" s="9" t="str">
        <f>messy_sales!E338</f>
        <v>EMEA</v>
      </c>
      <c r="F338" s="9" t="str">
        <f>messy_sales!F338</f>
        <v>SMB</v>
      </c>
      <c r="G338" s="8">
        <f>IF(messy_sales!G338="", "Missing" , messy_sales!G338)</f>
        <v>1524.72</v>
      </c>
    </row>
    <row r="339">
      <c r="A339" s="9" t="str">
        <f>messy_sales!A339</f>
        <v>ORD-01338</v>
      </c>
      <c r="B339" s="10">
        <f>IFERROR(DATEVALUE(messy_sales!B339), "Invalid Date")</f>
        <v>45775</v>
      </c>
      <c r="C339" s="9" t="str">
        <f>TRIM(messy_sales!C339)</f>
        <v>Wide World Importers</v>
      </c>
      <c r="D339" s="9" t="str">
        <f>UPPER(TRIM(messy_sales!D339))</f>
        <v>GB</v>
      </c>
      <c r="E339" s="9" t="str">
        <f>messy_sales!E339</f>
        <v>EMEA</v>
      </c>
      <c r="F339" s="9" t="str">
        <f>messy_sales!F339</f>
        <v>Mid-Market</v>
      </c>
      <c r="G339" s="8">
        <f>IF(messy_sales!G339="", "Missing" , messy_sales!G339)</f>
        <v>7162.43</v>
      </c>
    </row>
    <row r="340">
      <c r="A340" s="9" t="str">
        <f>messy_sales!A340</f>
        <v>ORD-01339</v>
      </c>
      <c r="B340" s="10">
        <f>IFERROR(DATEVALUE(messy_sales!B340), "Invalid Date")</f>
        <v>45374</v>
      </c>
      <c r="C340" s="9" t="str">
        <f>TRIM(messy_sales!C340)</f>
        <v>Gulf Logistics</v>
      </c>
      <c r="D340" s="9" t="str">
        <f>UPPER(TRIM(messy_sales!D340))</f>
        <v>AE</v>
      </c>
      <c r="E340" s="9" t="str">
        <f>messy_sales!E340</f>
        <v>EMEA</v>
      </c>
      <c r="F340" s="9" t="str">
        <f>messy_sales!F340</f>
        <v>Enterprise</v>
      </c>
      <c r="G340" s="8">
        <f>IF(messy_sales!G340="", "Missing" , messy_sales!G340)</f>
        <v>19320.07</v>
      </c>
    </row>
    <row r="341">
      <c r="A341" s="9" t="str">
        <f>messy_sales!A341</f>
        <v>ORD-01340</v>
      </c>
      <c r="B341" s="10" t="str">
        <f>IFERROR(DATEVALUE(messy_sales!B341), "Invalid Date")</f>
        <v>Invalid Date</v>
      </c>
      <c r="C341" s="9" t="str">
        <f>TRIM(messy_sales!C341)</f>
        <v>Graphic Design Institute</v>
      </c>
      <c r="D341" s="9" t="str">
        <f>UPPER(TRIM(messy_sales!D341))</f>
        <v>GB</v>
      </c>
      <c r="E341" s="9" t="str">
        <f>messy_sales!E341</f>
        <v>EMEA</v>
      </c>
      <c r="F341" s="9" t="str">
        <f>messy_sales!F341</f>
        <v>SMB</v>
      </c>
      <c r="G341" s="8">
        <f>IF(messy_sales!G341="", "Missing" , messy_sales!G341)</f>
        <v>1523.01</v>
      </c>
    </row>
    <row r="342">
      <c r="A342" s="9" t="str">
        <f>messy_sales!A342</f>
        <v>ORD-01341</v>
      </c>
      <c r="B342" s="10">
        <f>IFERROR(DATEVALUE(messy_sales!B342), "Invalid Date")</f>
        <v>45471</v>
      </c>
      <c r="C342" s="9" t="str">
        <f>TRIM(messy_sales!C342)</f>
        <v>Hanseatic Imports</v>
      </c>
      <c r="D342" s="9" t="str">
        <f>UPPER(TRIM(messy_sales!D342))</f>
        <v>DE</v>
      </c>
      <c r="E342" s="9" t="str">
        <f>messy_sales!E342</f>
        <v>EMEA</v>
      </c>
      <c r="F342" s="9" t="str">
        <f>messy_sales!F342</f>
        <v>SMB</v>
      </c>
      <c r="G342" s="8">
        <f>IF(messy_sales!G342="", "Missing" , messy_sales!G342)</f>
        <v>870.14</v>
      </c>
    </row>
    <row r="343">
      <c r="A343" s="9" t="str">
        <f>messy_sales!A343</f>
        <v>ORD-01342</v>
      </c>
      <c r="B343" s="10">
        <f>IFERROR(DATEVALUE(messy_sales!B343), "Invalid Date")</f>
        <v>45669</v>
      </c>
      <c r="C343" s="9" t="str">
        <f>TRIM(messy_sales!C343)</f>
        <v>Wingtip Retail</v>
      </c>
      <c r="D343" s="9" t="str">
        <f>UPPER(TRIM(messy_sales!D343))</f>
        <v>US</v>
      </c>
      <c r="E343" s="9" t="str">
        <f>messy_sales!E343</f>
        <v>North America</v>
      </c>
      <c r="F343" s="9" t="str">
        <f>messy_sales!F343</f>
        <v>SMB</v>
      </c>
      <c r="G343" s="8">
        <f>IF(messy_sales!G343="", "Missing" , messy_sales!G343)</f>
        <v>2475.23</v>
      </c>
    </row>
    <row r="344">
      <c r="A344" s="9" t="str">
        <f>messy_sales!A344</f>
        <v>ORD-01343</v>
      </c>
      <c r="B344" s="10">
        <f>IFERROR(DATEVALUE(messy_sales!B344), "Invalid Date")</f>
        <v>45556</v>
      </c>
      <c r="C344" s="9" t="str">
        <f>TRIM(messy_sales!C344)</f>
        <v>Desert Trading LLC</v>
      </c>
      <c r="D344" s="9" t="str">
        <f>UPPER(TRIM(messy_sales!D344))</f>
        <v>AE</v>
      </c>
      <c r="E344" s="9" t="str">
        <f>messy_sales!E344</f>
        <v>EMEA</v>
      </c>
      <c r="F344" s="9" t="str">
        <f>messy_sales!F344</f>
        <v>Mid-Market</v>
      </c>
      <c r="G344" s="8">
        <f>IF(messy_sales!G344="", "Missing" , messy_sales!G344)</f>
        <v>5887.23</v>
      </c>
    </row>
    <row r="345">
      <c r="A345" s="9" t="str">
        <f>messy_sales!A345</f>
        <v>ORD-01344</v>
      </c>
      <c r="B345" s="10">
        <f>IFERROR(DATEVALUE(messy_sales!B345), "Invalid Date")</f>
        <v>45602</v>
      </c>
      <c r="C345" s="9" t="str">
        <f>TRIM(messy_sales!C345)</f>
        <v>Outback Supplies</v>
      </c>
      <c r="D345" s="9" t="str">
        <f>UPPER(TRIM(messy_sales!D345))</f>
        <v>AU</v>
      </c>
      <c r="E345" s="9" t="str">
        <f>messy_sales!E345</f>
        <v>APAC</v>
      </c>
      <c r="F345" s="9" t="str">
        <f>messy_sales!F345</f>
        <v>Mid-Market</v>
      </c>
      <c r="G345" s="8">
        <f>IF(messy_sales!G345="", "Missing" , messy_sales!G345)</f>
        <v>7781.61</v>
      </c>
    </row>
    <row r="346">
      <c r="A346" s="9" t="str">
        <f>messy_sales!A346</f>
        <v>ORD-01345</v>
      </c>
      <c r="B346" s="10">
        <f>IFERROR(DATEVALUE(messy_sales!B346), "Invalid Date")</f>
        <v>45725</v>
      </c>
      <c r="C346" s="9" t="str">
        <f>TRIM(messy_sales!C346)</f>
        <v>Desert Trading LLC</v>
      </c>
      <c r="D346" s="9" t="str">
        <f>UPPER(TRIM(messy_sales!D346))</f>
        <v>AE</v>
      </c>
      <c r="E346" s="9" t="str">
        <f>messy_sales!E346</f>
        <v>EMEA</v>
      </c>
      <c r="F346" s="9" t="str">
        <f>messy_sales!F346</f>
        <v>Mid-Market</v>
      </c>
      <c r="G346" s="8">
        <f>IF(messy_sales!G346="", "Missing" , messy_sales!G346)</f>
        <v>4937.68</v>
      </c>
    </row>
    <row r="347">
      <c r="A347" s="9" t="str">
        <f>messy_sales!A347</f>
        <v>ORD-01346</v>
      </c>
      <c r="B347" s="10">
        <f>IFERROR(DATEVALUE(messy_sales!B347), "Invalid Date")</f>
        <v>45625</v>
      </c>
      <c r="C347" s="9" t="str">
        <f>TRIM(messy_sales!C347)</f>
        <v>Desert Trading LLC</v>
      </c>
      <c r="D347" s="9" t="str">
        <f>UPPER(TRIM(messy_sales!D347))</f>
        <v>AE</v>
      </c>
      <c r="E347" s="9" t="str">
        <f>messy_sales!E347</f>
        <v>EMEA</v>
      </c>
      <c r="F347" s="9" t="str">
        <f>messy_sales!F347</f>
        <v>Mid-Market</v>
      </c>
      <c r="G347" s="8">
        <f>IF(messy_sales!G347="", "Missing" , messy_sales!G347)</f>
        <v>7945.44</v>
      </c>
    </row>
    <row r="348">
      <c r="A348" s="9" t="str">
        <f>messy_sales!A348</f>
        <v>ORD-01347</v>
      </c>
      <c r="B348" s="10" t="str">
        <f>IFERROR(DATEVALUE(messy_sales!B348), "Invalid Date")</f>
        <v>Invalid Date</v>
      </c>
      <c r="C348" s="9" t="str">
        <f>TRIM(messy_sales!C348)</f>
        <v>Desert Trading LLC</v>
      </c>
      <c r="D348" s="9" t="str">
        <f>UPPER(TRIM(messy_sales!D348))</f>
        <v>AE</v>
      </c>
      <c r="E348" s="9" t="str">
        <f>messy_sales!E348</f>
        <v>EMEA</v>
      </c>
      <c r="F348" s="9" t="str">
        <f>messy_sales!F348</f>
        <v>Mid-Market</v>
      </c>
      <c r="G348" s="8" t="str">
        <f>IF(messy_sales!G348="", "Missing" , messy_sales!G348)</f>
        <v>Missing</v>
      </c>
    </row>
    <row r="349">
      <c r="A349" s="9" t="str">
        <f>messy_sales!A349</f>
        <v>ORD-01348</v>
      </c>
      <c r="B349" s="10">
        <f>IFERROR(DATEVALUE(messy_sales!B349), "Invalid Date")</f>
        <v>45433</v>
      </c>
      <c r="C349" s="9" t="str">
        <f>TRIM(messy_sales!C349)</f>
        <v>Sydney Harbour Goods</v>
      </c>
      <c r="D349" s="9" t="str">
        <f>UPPER(TRIM(messy_sales!D349))</f>
        <v>AU</v>
      </c>
      <c r="E349" s="9" t="str">
        <f>messy_sales!E349</f>
        <v>APAC</v>
      </c>
      <c r="F349" s="9" t="str">
        <f>messy_sales!F349</f>
        <v>SMB</v>
      </c>
      <c r="G349" s="8">
        <f>IF(messy_sales!G349="", "Missing" , messy_sales!G349)</f>
        <v>2170.82</v>
      </c>
    </row>
    <row r="350">
      <c r="A350" s="9" t="str">
        <f>messy_sales!A350</f>
        <v>ORD-01349</v>
      </c>
      <c r="B350" s="10">
        <f>IFERROR(DATEVALUE(messy_sales!B350), "Invalid Date")</f>
        <v>45658</v>
      </c>
      <c r="C350" s="9" t="str">
        <f>TRIM(messy_sales!C350)</f>
        <v>Hanseatic Imports</v>
      </c>
      <c r="D350" s="9" t="str">
        <f>UPPER(TRIM(messy_sales!D350))</f>
        <v>DE</v>
      </c>
      <c r="E350" s="9" t="str">
        <f>messy_sales!E350</f>
        <v>EMEA</v>
      </c>
      <c r="F350" s="9" t="str">
        <f>messy_sales!F350</f>
        <v>SMB</v>
      </c>
      <c r="G350" s="8">
        <f>IF(messy_sales!G350="", "Missing" , messy_sales!G350)</f>
        <v>2256.43</v>
      </c>
    </row>
    <row r="351">
      <c r="A351" s="9" t="str">
        <f>messy_sales!A351</f>
        <v>ORD-01350</v>
      </c>
      <c r="B351" s="10">
        <f>IFERROR(DATEVALUE(messy_sales!B351), "Invalid Date")</f>
        <v>45595</v>
      </c>
      <c r="C351" s="9" t="str">
        <f>TRIM(messy_sales!C351)</f>
        <v>Wide World Importers</v>
      </c>
      <c r="D351" s="9" t="str">
        <f>UPPER(TRIM(messy_sales!D351))</f>
        <v>GB</v>
      </c>
      <c r="E351" s="9" t="str">
        <f>messy_sales!E351</f>
        <v>EMEA</v>
      </c>
      <c r="F351" s="9" t="str">
        <f>messy_sales!F351</f>
        <v>Mid-Market</v>
      </c>
      <c r="G351" s="8">
        <f>IF(messy_sales!G351="", "Missing" , messy_sales!G351)</f>
        <v>9259.32</v>
      </c>
    </row>
    <row r="352">
      <c r="A352" s="9" t="str">
        <f>messy_sales!A352</f>
        <v>ORD-01351</v>
      </c>
      <c r="B352" s="10">
        <f>IFERROR(DATEVALUE(messy_sales!B352), "Invalid Date")</f>
        <v>45725</v>
      </c>
      <c r="C352" s="9" t="str">
        <f>TRIM(messy_sales!C352)</f>
        <v>Hanseatic Imports</v>
      </c>
      <c r="D352" s="9" t="str">
        <f>UPPER(TRIM(messy_sales!D352))</f>
        <v>DE</v>
      </c>
      <c r="E352" s="9" t="str">
        <f>messy_sales!E352</f>
        <v>EMEA</v>
      </c>
      <c r="F352" s="9" t="str">
        <f>messy_sales!F352</f>
        <v>SMB</v>
      </c>
      <c r="G352" s="8">
        <f>IF(messy_sales!G352="", "Missing" , messy_sales!G352)</f>
        <v>1797.14</v>
      </c>
    </row>
    <row r="353">
      <c r="A353" s="9" t="str">
        <f>messy_sales!A353</f>
        <v>ORD-01352</v>
      </c>
      <c r="B353" s="10">
        <f>IFERROR(DATEVALUE(messy_sales!B353), "Invalid Date")</f>
        <v>45798</v>
      </c>
      <c r="C353" s="9" t="str">
        <f>TRIM(messy_sales!C353)</f>
        <v>Adventure Works</v>
      </c>
      <c r="D353" s="9" t="str">
        <f>UPPER(TRIM(messy_sales!D353))</f>
        <v>CA</v>
      </c>
      <c r="E353" s="9" t="str">
        <f>messy_sales!E353</f>
        <v>North America</v>
      </c>
      <c r="F353" s="9" t="str">
        <f>messy_sales!F353</f>
        <v>Mid-Market</v>
      </c>
      <c r="G353" s="8">
        <f>IF(messy_sales!G353="", "Missing" , messy_sales!G353)</f>
        <v>8856.32</v>
      </c>
    </row>
    <row r="354">
      <c r="A354" s="9" t="str">
        <f>messy_sales!A354</f>
        <v>ORD-01353</v>
      </c>
      <c r="B354" s="10">
        <f>IFERROR(DATEVALUE(messy_sales!B354), "Invalid Date")</f>
        <v>45456</v>
      </c>
      <c r="C354" s="9" t="str">
        <f>TRIM(messy_sales!C354)</f>
        <v>Blue Yonder Airlines</v>
      </c>
      <c r="D354" s="9" t="str">
        <f>UPPER(TRIM(messy_sales!D354))</f>
        <v>US</v>
      </c>
      <c r="E354" s="9" t="str">
        <f>messy_sales!E354</f>
        <v>North America</v>
      </c>
      <c r="F354" s="9" t="str">
        <f>messy_sales!F354</f>
        <v>Enterprise</v>
      </c>
      <c r="G354" s="8">
        <f>IF(messy_sales!G354="", "Missing" , messy_sales!G354)</f>
        <v>23066.1</v>
      </c>
    </row>
    <row r="355">
      <c r="A355" s="9" t="str">
        <f>messy_sales!A355</f>
        <v>ORD-01354</v>
      </c>
      <c r="B355" s="10">
        <f>IFERROR(DATEVALUE(messy_sales!B355), "Invalid Date")</f>
        <v>45510</v>
      </c>
      <c r="C355" s="9" t="str">
        <f>TRIM(messy_sales!C355)</f>
        <v>Delhi Textiles</v>
      </c>
      <c r="D355" s="9" t="str">
        <f>UPPER(TRIM(messy_sales!D355))</f>
        <v>IN</v>
      </c>
      <c r="E355" s="9" t="str">
        <f>messy_sales!E355</f>
        <v>APAC</v>
      </c>
      <c r="F355" s="9" t="str">
        <f>messy_sales!F355</f>
        <v>SMB</v>
      </c>
      <c r="G355" s="8">
        <f>IF(messy_sales!G355="", "Missing" , messy_sales!G355)</f>
        <v>2569.44</v>
      </c>
    </row>
    <row r="356">
      <c r="A356" s="9" t="str">
        <f>messy_sales!A356</f>
        <v>ORD-01355</v>
      </c>
      <c r="B356" s="10">
        <f>IFERROR(DATEVALUE(messy_sales!B356), "Invalid Date")</f>
        <v>45294</v>
      </c>
      <c r="C356" s="9" t="str">
        <f>TRIM(messy_sales!C356)</f>
        <v>Nordwind Energie</v>
      </c>
      <c r="D356" s="9" t="str">
        <f>UPPER(TRIM(messy_sales!D356))</f>
        <v>DE</v>
      </c>
      <c r="E356" s="9" t="str">
        <f>messy_sales!E356</f>
        <v>EMEA</v>
      </c>
      <c r="F356" s="9" t="str">
        <f>messy_sales!F356</f>
        <v>Mid-Market</v>
      </c>
      <c r="G356" s="8">
        <f>IF(messy_sales!G356="", "Missing" , messy_sales!G356)</f>
        <v>7180.92</v>
      </c>
    </row>
    <row r="357">
      <c r="A357" s="9" t="str">
        <f>messy_sales!A357</f>
        <v>ORD-01356</v>
      </c>
      <c r="B357" s="10">
        <f>IFERROR(DATEVALUE(messy_sales!B357), "Invalid Date")</f>
        <v>45397</v>
      </c>
      <c r="C357" s="9" t="str">
        <f>TRIM(messy_sales!C357)</f>
        <v>Emirates Retail Group</v>
      </c>
      <c r="D357" s="9" t="str">
        <f>UPPER(TRIM(messy_sales!D357))</f>
        <v>AE</v>
      </c>
      <c r="E357" s="9" t="str">
        <f>messy_sales!E357</f>
        <v>EMEA</v>
      </c>
      <c r="F357" s="9" t="str">
        <f>messy_sales!F357</f>
        <v>Enterprise</v>
      </c>
      <c r="G357" s="8">
        <f>IF(messy_sales!G357="", "Missing" , messy_sales!G357)</f>
        <v>9390.15</v>
      </c>
    </row>
    <row r="358">
      <c r="A358" s="9" t="str">
        <f>messy_sales!A358</f>
        <v>ORD-01357</v>
      </c>
      <c r="B358" s="10">
        <f>IFERROR(DATEVALUE(messy_sales!B358), "Invalid Date")</f>
        <v>45360</v>
      </c>
      <c r="C358" s="9" t="str">
        <f>TRIM(messy_sales!C358)</f>
        <v>Delhi Textiles</v>
      </c>
      <c r="D358" s="9" t="str">
        <f>UPPER(TRIM(messy_sales!D358))</f>
        <v>IN</v>
      </c>
      <c r="E358" s="9" t="str">
        <f>messy_sales!E358</f>
        <v>APAC</v>
      </c>
      <c r="F358" s="9" t="str">
        <f>messy_sales!F358</f>
        <v>SMB</v>
      </c>
      <c r="G358" s="8">
        <f>IF(messy_sales!G358="", "Missing" , messy_sales!G358)</f>
        <v>2687.9</v>
      </c>
    </row>
    <row r="359">
      <c r="A359" s="9" t="str">
        <f>messy_sales!A359</f>
        <v>ORD-01358</v>
      </c>
      <c r="B359" s="10">
        <f>IFERROR(DATEVALUE(messy_sales!B359), "Invalid Date")</f>
        <v>45296</v>
      </c>
      <c r="C359" s="9" t="str">
        <f>TRIM(messy_sales!C359)</f>
        <v>Tata Consultancy Retail</v>
      </c>
      <c r="D359" s="9" t="str">
        <f>UPPER(TRIM(messy_sales!D359))</f>
        <v>IN</v>
      </c>
      <c r="E359" s="9" t="str">
        <f>messy_sales!E359</f>
        <v>APAC</v>
      </c>
      <c r="F359" s="9" t="str">
        <f>messy_sales!F359</f>
        <v>Enterprise</v>
      </c>
      <c r="G359" s="8">
        <f>IF(messy_sales!G359="", "Missing" , messy_sales!G359)</f>
        <v>23157.97</v>
      </c>
    </row>
    <row r="360">
      <c r="A360" s="9" t="str">
        <f>messy_sales!A360</f>
        <v>ORD-01359</v>
      </c>
      <c r="B360" s="10">
        <f>IFERROR(DATEVALUE(messy_sales!B360), "Invalid Date")</f>
        <v>45517</v>
      </c>
      <c r="C360" s="9" t="str">
        <f>TRIM(messy_sales!C360)</f>
        <v>Alpine Ski House</v>
      </c>
      <c r="D360" s="9" t="str">
        <f>UPPER(TRIM(messy_sales!D360))</f>
        <v>DE</v>
      </c>
      <c r="E360" s="9" t="str">
        <f>messy_sales!E360</f>
        <v>EMEA</v>
      </c>
      <c r="F360" s="9" t="str">
        <f>messy_sales!F360</f>
        <v>SMB</v>
      </c>
      <c r="G360" s="8">
        <f>IF(messy_sales!G360="", "Missing" , messy_sales!G360)</f>
        <v>475.25</v>
      </c>
    </row>
    <row r="361">
      <c r="A361" s="9" t="str">
        <f>messy_sales!A361</f>
        <v>ORD-01360</v>
      </c>
      <c r="B361" s="10">
        <f>IFERROR(DATEVALUE(messy_sales!B361), "Invalid Date")</f>
        <v>45716</v>
      </c>
      <c r="C361" s="9" t="str">
        <f>TRIM(messy_sales!C361)</f>
        <v>Wide World Importers</v>
      </c>
      <c r="D361" s="9" t="str">
        <f>UPPER(TRIM(messy_sales!D361))</f>
        <v>GB</v>
      </c>
      <c r="E361" s="9" t="str">
        <f>messy_sales!E361</f>
        <v>EMEA</v>
      </c>
      <c r="F361" s="9" t="str">
        <f>messy_sales!F361</f>
        <v>Mid-Market</v>
      </c>
      <c r="G361" s="8">
        <f>IF(messy_sales!G361="", "Missing" , messy_sales!G361)</f>
        <v>9975.54</v>
      </c>
    </row>
    <row r="362">
      <c r="A362" s="9" t="str">
        <f>messy_sales!A362</f>
        <v>ORD-01361</v>
      </c>
      <c r="B362" s="10">
        <f>IFERROR(DATEVALUE(messy_sales!B362), "Invalid Date")</f>
        <v>45594</v>
      </c>
      <c r="C362" s="9" t="str">
        <f>TRIM(messy_sales!C362)</f>
        <v>Pacific Northwest Co</v>
      </c>
      <c r="D362" s="9" t="str">
        <f>UPPER(TRIM(messy_sales!D362))</f>
        <v>US</v>
      </c>
      <c r="E362" s="9" t="str">
        <f>messy_sales!E362</f>
        <v>North America</v>
      </c>
      <c r="F362" s="9" t="str">
        <f>messy_sales!F362</f>
        <v>Mid-Market</v>
      </c>
      <c r="G362" s="8">
        <f>IF(messy_sales!G362="", "Missing" , messy_sales!G362)</f>
        <v>8502.38</v>
      </c>
    </row>
    <row r="363">
      <c r="A363" s="9" t="str">
        <f>messy_sales!A363</f>
        <v>ORD-01362</v>
      </c>
      <c r="B363" s="10">
        <f>IFERROR(DATEVALUE(messy_sales!B363), "Invalid Date")</f>
        <v>45435</v>
      </c>
      <c r="C363" s="9" t="str">
        <f>TRIM(messy_sales!C363)</f>
        <v>Adventure Works</v>
      </c>
      <c r="D363" s="9" t="str">
        <f>UPPER(TRIM(messy_sales!D363))</f>
        <v>CA</v>
      </c>
      <c r="E363" s="9" t="str">
        <f>messy_sales!E363</f>
        <v>North America</v>
      </c>
      <c r="F363" s="9" t="str">
        <f>messy_sales!F363</f>
        <v>Mid-Market</v>
      </c>
      <c r="G363" s="8">
        <f>IF(messy_sales!G363="", "Missing" , messy_sales!G363)</f>
        <v>8097.57</v>
      </c>
    </row>
    <row r="364">
      <c r="A364" s="9" t="str">
        <f>messy_sales!A364</f>
        <v>ORD-01363</v>
      </c>
      <c r="B364" s="10">
        <f>IFERROR(DATEVALUE(messy_sales!B364), "Invalid Date")</f>
        <v>45511</v>
      </c>
      <c r="C364" s="9" t="str">
        <f>TRIM(messy_sales!C364)</f>
        <v>Outback Supplies</v>
      </c>
      <c r="D364" s="9" t="str">
        <f>UPPER(TRIM(messy_sales!D364))</f>
        <v>AU</v>
      </c>
      <c r="E364" s="9" t="str">
        <f>messy_sales!E364</f>
        <v>APAC</v>
      </c>
      <c r="F364" s="9" t="str">
        <f>messy_sales!F364</f>
        <v>Mid-Market</v>
      </c>
      <c r="G364" s="8">
        <f>IF(messy_sales!G364="", "Missing" , messy_sales!G364)</f>
        <v>5963.8</v>
      </c>
    </row>
    <row r="365">
      <c r="A365" s="9" t="str">
        <f>messy_sales!A365</f>
        <v>ORD-01364</v>
      </c>
      <c r="B365" s="10">
        <f>IFERROR(DATEVALUE(messy_sales!B365), "Invalid Date")</f>
        <v>45735</v>
      </c>
      <c r="C365" s="9" t="str">
        <f>TRIM(messy_sales!C365)</f>
        <v>Contoso Ltd</v>
      </c>
      <c r="D365" s="9" t="str">
        <f>UPPER(TRIM(messy_sales!D365))</f>
        <v>US</v>
      </c>
      <c r="E365" s="9" t="str">
        <f>messy_sales!E365</f>
        <v>North America</v>
      </c>
      <c r="F365" s="9" t="str">
        <f>messy_sales!F365</f>
        <v>Enterprise</v>
      </c>
      <c r="G365" s="8">
        <f>IF(messy_sales!G365="", "Missing" , messy_sales!G365)</f>
        <v>30121.78</v>
      </c>
    </row>
    <row r="366">
      <c r="A366" s="9" t="str">
        <f>messy_sales!A366</f>
        <v>ORD-01365</v>
      </c>
      <c r="B366" s="10">
        <f>IFERROR(DATEVALUE(messy_sales!B366), "Invalid Date")</f>
        <v>45654</v>
      </c>
      <c r="C366" s="9" t="str">
        <f>TRIM(messy_sales!C366)</f>
        <v>Wingtip Retail</v>
      </c>
      <c r="D366" s="9" t="str">
        <f>UPPER(TRIM(messy_sales!D366))</f>
        <v>US</v>
      </c>
      <c r="E366" s="9" t="str">
        <f>messy_sales!E366</f>
        <v>North America</v>
      </c>
      <c r="F366" s="9" t="str">
        <f>messy_sales!F366</f>
        <v>SMB</v>
      </c>
      <c r="G366" s="8">
        <f>IF(messy_sales!G366="", "Missing" , messy_sales!G366)</f>
        <v>1466.6</v>
      </c>
    </row>
    <row r="367">
      <c r="A367" s="9" t="str">
        <f>messy_sales!A367</f>
        <v>ORD-01366</v>
      </c>
      <c r="B367" s="10">
        <f>IFERROR(DATEVALUE(messy_sales!B367), "Invalid Date")</f>
        <v>45517</v>
      </c>
      <c r="C367" s="9" t="str">
        <f>TRIM(messy_sales!C367)</f>
        <v>Northwind Traders</v>
      </c>
      <c r="D367" s="9" t="str">
        <f>UPPER(TRIM(messy_sales!D367))</f>
        <v>US</v>
      </c>
      <c r="E367" s="9" t="str">
        <f>messy_sales!E367</f>
        <v>North America</v>
      </c>
      <c r="F367" s="9" t="str">
        <f>messy_sales!F367</f>
        <v>Enterprise</v>
      </c>
      <c r="G367" s="8">
        <f>IF(messy_sales!G367="", "Missing" , messy_sales!G367)</f>
        <v>24353.51</v>
      </c>
    </row>
    <row r="368">
      <c r="A368" s="9" t="str">
        <f>messy_sales!A368</f>
        <v>ORD-01367</v>
      </c>
      <c r="B368" s="10">
        <f>IFERROR(DATEVALUE(messy_sales!B368), "Invalid Date")</f>
        <v>45538</v>
      </c>
      <c r="C368" s="9" t="str">
        <f>TRIM(messy_sales!C368)</f>
        <v>Nordwind Energie</v>
      </c>
      <c r="D368" s="9" t="str">
        <f>UPPER(TRIM(messy_sales!D368))</f>
        <v>DE</v>
      </c>
      <c r="E368" s="9" t="str">
        <f>messy_sales!E368</f>
        <v>EMEA</v>
      </c>
      <c r="F368" s="9" t="str">
        <f>messy_sales!F368</f>
        <v>Mid-Market</v>
      </c>
      <c r="G368" s="8">
        <f>IF(messy_sales!G368="", "Missing" , messy_sales!G368)</f>
        <v>3580.16</v>
      </c>
    </row>
    <row r="369">
      <c r="A369" s="9" t="str">
        <f>messy_sales!A369</f>
        <v>ORD-01368</v>
      </c>
      <c r="B369" s="10">
        <f>IFERROR(DATEVALUE(messy_sales!B369), "Invalid Date")</f>
        <v>45340</v>
      </c>
      <c r="C369" s="9" t="str">
        <f>TRIM(messy_sales!C369)</f>
        <v>Adventure Works</v>
      </c>
      <c r="D369" s="9" t="str">
        <f>UPPER(TRIM(messy_sales!D369))</f>
        <v>CA</v>
      </c>
      <c r="E369" s="9" t="str">
        <f>messy_sales!E369</f>
        <v>North America</v>
      </c>
      <c r="F369" s="9" t="str">
        <f>messy_sales!F369</f>
        <v>Mid-Market</v>
      </c>
      <c r="G369" s="8">
        <f>IF(messy_sales!G369="", "Missing" , messy_sales!G369)</f>
        <v>10509.13</v>
      </c>
    </row>
    <row r="370">
      <c r="A370" s="9" t="str">
        <f>messy_sales!A370</f>
        <v>ORD-01369</v>
      </c>
      <c r="B370" s="10">
        <f>IFERROR(DATEVALUE(messy_sales!B370), "Invalid Date")</f>
        <v>45560</v>
      </c>
      <c r="C370" s="9" t="str">
        <f>TRIM(messy_sales!C370)</f>
        <v>Mumbai Fresh Foods</v>
      </c>
      <c r="D370" s="9" t="str">
        <f>UPPER(TRIM(messy_sales!D370))</f>
        <v>IN</v>
      </c>
      <c r="E370" s="9" t="str">
        <f>messy_sales!E370</f>
        <v>APAC</v>
      </c>
      <c r="F370" s="9" t="str">
        <f>messy_sales!F370</f>
        <v>SMB</v>
      </c>
      <c r="G370" s="8">
        <f>IF(messy_sales!G370="", "Missing" , messy_sales!G370)</f>
        <v>2865.49</v>
      </c>
    </row>
    <row r="371">
      <c r="A371" s="9" t="str">
        <f>messy_sales!A371</f>
        <v>ORD-01370</v>
      </c>
      <c r="B371" s="10">
        <f>IFERROR(DATEVALUE(messy_sales!B371), "Invalid Date")</f>
        <v>45385</v>
      </c>
      <c r="C371" s="9" t="str">
        <f>TRIM(messy_sales!C371)</f>
        <v>Thames Valley Foods</v>
      </c>
      <c r="D371" s="9" t="str">
        <f>UPPER(TRIM(messy_sales!D371))</f>
        <v>GB</v>
      </c>
      <c r="E371" s="9" t="str">
        <f>messy_sales!E371</f>
        <v>EMEA</v>
      </c>
      <c r="F371" s="9" t="str">
        <f>messy_sales!F371</f>
        <v>Mid-Market</v>
      </c>
      <c r="G371" s="8">
        <f>IF(messy_sales!G371="", "Missing" , messy_sales!G371)</f>
        <v>10364.03</v>
      </c>
    </row>
    <row r="372">
      <c r="A372" s="9" t="str">
        <f>messy_sales!A372</f>
        <v>ORD-01371</v>
      </c>
      <c r="B372" s="10">
        <f>IFERROR(DATEVALUE(messy_sales!B372), "Invalid Date")</f>
        <v>45469</v>
      </c>
      <c r="C372" s="9" t="str">
        <f>TRIM(messy_sales!C372)</f>
        <v>Outback Supplies</v>
      </c>
      <c r="D372" s="9" t="str">
        <f>UPPER(TRIM(messy_sales!D372))</f>
        <v>AU</v>
      </c>
      <c r="E372" s="9" t="str">
        <f>messy_sales!E372</f>
        <v>APAC</v>
      </c>
      <c r="F372" s="9" t="str">
        <f>messy_sales!F372</f>
        <v>Mid-Market</v>
      </c>
      <c r="G372" s="8">
        <f>IF(messy_sales!G372="", "Missing" , messy_sales!G372)</f>
        <v>7263.26</v>
      </c>
    </row>
    <row r="373">
      <c r="A373" s="9" t="str">
        <f>messy_sales!A373</f>
        <v>ORD-01372</v>
      </c>
      <c r="B373" s="10">
        <f>IFERROR(DATEVALUE(messy_sales!B373), "Invalid Date")</f>
        <v>45529</v>
      </c>
      <c r="C373" s="9" t="str">
        <f>TRIM(messy_sales!C373)</f>
        <v>Sydney Harbour Goods</v>
      </c>
      <c r="D373" s="9" t="str">
        <f>UPPER(TRIM(messy_sales!D373))</f>
        <v>AU</v>
      </c>
      <c r="E373" s="9" t="str">
        <f>messy_sales!E373</f>
        <v>APAC</v>
      </c>
      <c r="F373" s="9" t="str">
        <f>messy_sales!F373</f>
        <v>SMB</v>
      </c>
      <c r="G373" s="8">
        <f>IF(messy_sales!G373="", "Missing" , messy_sales!G373)</f>
        <v>1252.62</v>
      </c>
    </row>
    <row r="374">
      <c r="A374" s="9" t="str">
        <f>messy_sales!A374</f>
        <v>ORD-01373</v>
      </c>
      <c r="B374" s="10">
        <f>IFERROR(DATEVALUE(messy_sales!B374), "Invalid Date")</f>
        <v>45643</v>
      </c>
      <c r="C374" s="9" t="str">
        <f>TRIM(messy_sales!C374)</f>
        <v>Bengaluru Softworks</v>
      </c>
      <c r="D374" s="9" t="str">
        <f>UPPER(TRIM(messy_sales!D374))</f>
        <v>IN</v>
      </c>
      <c r="E374" s="9" t="str">
        <f>messy_sales!E374</f>
        <v>APAC</v>
      </c>
      <c r="F374" s="9" t="str">
        <f>messy_sales!F374</f>
        <v>Mid-Market</v>
      </c>
      <c r="G374" s="8">
        <f>IF(messy_sales!G374="", "Missing" , messy_sales!G374)</f>
        <v>4694.55</v>
      </c>
    </row>
    <row r="375">
      <c r="A375" s="9" t="str">
        <f>messy_sales!A375</f>
        <v>ORD-01374</v>
      </c>
      <c r="B375" s="10">
        <f>IFERROR(DATEVALUE(messy_sales!B375), "Invalid Date")</f>
        <v>45613</v>
      </c>
      <c r="C375" s="9" t="str">
        <f>TRIM(messy_sales!C375)</f>
        <v>Tailspin Toys</v>
      </c>
      <c r="D375" s="9" t="str">
        <f>UPPER(TRIM(messy_sales!D375))</f>
        <v>CA</v>
      </c>
      <c r="E375" s="9" t="str">
        <f>messy_sales!E375</f>
        <v>North America</v>
      </c>
      <c r="F375" s="9" t="str">
        <f>messy_sales!F375</f>
        <v>SMB</v>
      </c>
      <c r="G375" s="8">
        <f>IF(messy_sales!G375="", "Missing" , messy_sales!G375)</f>
        <v>2418.77</v>
      </c>
    </row>
    <row r="376">
      <c r="A376" s="9" t="str">
        <f>messy_sales!A376</f>
        <v>ORD-01375</v>
      </c>
      <c r="B376" s="10">
        <f>IFERROR(DATEVALUE(messy_sales!B376), "Invalid Date")</f>
        <v>45830</v>
      </c>
      <c r="C376" s="9" t="str">
        <f>TRIM(messy_sales!C376)</f>
        <v>Desert Trading LLC</v>
      </c>
      <c r="D376" s="9" t="str">
        <f>UPPER(TRIM(messy_sales!D376))</f>
        <v>AE</v>
      </c>
      <c r="E376" s="9" t="str">
        <f>messy_sales!E376</f>
        <v>EMEA</v>
      </c>
      <c r="F376" s="9" t="str">
        <f>messy_sales!F376</f>
        <v>Mid-Market</v>
      </c>
      <c r="G376" s="8">
        <f>IF(messy_sales!G376="", "Missing" , messy_sales!G376)</f>
        <v>7228.38</v>
      </c>
    </row>
    <row r="377">
      <c r="A377" s="9" t="str">
        <f>messy_sales!A377</f>
        <v>ORD-01376</v>
      </c>
      <c r="B377" s="10" t="str">
        <f>IFERROR(DATEVALUE(messy_sales!B377), "Invalid Date")</f>
        <v>Invalid Date</v>
      </c>
      <c r="C377" s="9" t="str">
        <f>TRIM(messy_sales!C377)</f>
        <v>Bengaluru Softworks</v>
      </c>
      <c r="D377" s="9" t="str">
        <f>UPPER(TRIM(messy_sales!D377))</f>
        <v>IN</v>
      </c>
      <c r="E377" s="9" t="str">
        <f>messy_sales!E377</f>
        <v>APAC</v>
      </c>
      <c r="F377" s="9" t="str">
        <f>messy_sales!F377</f>
        <v>Mid-Market</v>
      </c>
      <c r="G377" s="8">
        <f>IF(messy_sales!G377="", "Missing" , messy_sales!G377)</f>
        <v>6019.45</v>
      </c>
    </row>
    <row r="378">
      <c r="A378" s="9" t="str">
        <f>messy_sales!A378</f>
        <v>ORD-01377</v>
      </c>
      <c r="B378" s="10">
        <f>IFERROR(DATEVALUE(messy_sales!B378), "Invalid Date")</f>
        <v>45300</v>
      </c>
      <c r="C378" s="9" t="str">
        <f>TRIM(messy_sales!C378)</f>
        <v>Thames Valley Foods</v>
      </c>
      <c r="D378" s="9" t="str">
        <f>UPPER(TRIM(messy_sales!D378))</f>
        <v>GB</v>
      </c>
      <c r="E378" s="9" t="str">
        <f>messy_sales!E378</f>
        <v>EMEA</v>
      </c>
      <c r="F378" s="9" t="str">
        <f>messy_sales!F378</f>
        <v>Mid-Market</v>
      </c>
      <c r="G378" s="8">
        <f>IF(messy_sales!G378="", "Missing" , messy_sales!G378)</f>
        <v>6589.8</v>
      </c>
    </row>
    <row r="379">
      <c r="A379" s="9" t="str">
        <f>messy_sales!A379</f>
        <v>ORD-01378</v>
      </c>
      <c r="B379" s="10">
        <f>IFERROR(DATEVALUE(messy_sales!B379), "Invalid Date")</f>
        <v>45386</v>
      </c>
      <c r="C379" s="9" t="str">
        <f>TRIM(messy_sales!C379)</f>
        <v>Wide World Importers</v>
      </c>
      <c r="D379" s="9" t="str">
        <f>UPPER(TRIM(messy_sales!D379))</f>
        <v>GB</v>
      </c>
      <c r="E379" s="9" t="str">
        <f>messy_sales!E379</f>
        <v>EMEA</v>
      </c>
      <c r="F379" s="9" t="str">
        <f>messy_sales!F379</f>
        <v>Mid-Market</v>
      </c>
      <c r="G379" s="8">
        <f>IF(messy_sales!G379="", "Missing" , messy_sales!G379)</f>
        <v>4295.28</v>
      </c>
    </row>
    <row r="380">
      <c r="A380" s="9" t="str">
        <f>messy_sales!A380</f>
        <v>ORD-01379</v>
      </c>
      <c r="B380" s="10">
        <f>IFERROR(DATEVALUE(messy_sales!B380), "Invalid Date")</f>
        <v>45418</v>
      </c>
      <c r="C380" s="9" t="str">
        <f>TRIM(messy_sales!C380)</f>
        <v>Gulf Logistics</v>
      </c>
      <c r="D380" s="9" t="str">
        <f>UPPER(TRIM(messy_sales!D380))</f>
        <v>AE</v>
      </c>
      <c r="E380" s="9" t="str">
        <f>messy_sales!E380</f>
        <v>EMEA</v>
      </c>
      <c r="F380" s="9" t="str">
        <f>messy_sales!F380</f>
        <v>Enterprise</v>
      </c>
      <c r="G380" s="8">
        <f>IF(messy_sales!G380="", "Missing" , messy_sales!G380)</f>
        <v>23793.25</v>
      </c>
    </row>
    <row r="381">
      <c r="A381" s="9" t="str">
        <f>messy_sales!A381</f>
        <v>ORD-01380</v>
      </c>
      <c r="B381" s="10">
        <f>IFERROR(DATEVALUE(messy_sales!B381), "Invalid Date")</f>
        <v>45786</v>
      </c>
      <c r="C381" s="9" t="str">
        <f>TRIM(messy_sales!C381)</f>
        <v>Nordwind Energie</v>
      </c>
      <c r="D381" s="9" t="str">
        <f>UPPER(TRIM(messy_sales!D381))</f>
        <v>DE</v>
      </c>
      <c r="E381" s="9" t="str">
        <f>messy_sales!E381</f>
        <v>EMEA</v>
      </c>
      <c r="F381" s="9" t="str">
        <f>messy_sales!F381</f>
        <v>Mid-Market</v>
      </c>
      <c r="G381" s="8">
        <f>IF(messy_sales!G381="", "Missing" , messy_sales!G381)</f>
        <v>10506.32</v>
      </c>
    </row>
    <row r="382">
      <c r="A382" s="9" t="str">
        <f>messy_sales!A382</f>
        <v>ORD-01381</v>
      </c>
      <c r="B382" s="10">
        <f>IFERROR(DATEVALUE(messy_sales!B382), "Invalid Date")</f>
        <v>45754</v>
      </c>
      <c r="C382" s="9" t="str">
        <f>TRIM(messy_sales!C382)</f>
        <v>Hanseatic Imports</v>
      </c>
      <c r="D382" s="9" t="str">
        <f>UPPER(TRIM(messy_sales!D382))</f>
        <v>DE</v>
      </c>
      <c r="E382" s="9" t="str">
        <f>messy_sales!E382</f>
        <v>EMEA</v>
      </c>
      <c r="F382" s="9" t="str">
        <f>messy_sales!F382</f>
        <v>SMB</v>
      </c>
      <c r="G382" s="8" t="str">
        <f>IF(messy_sales!G382="", "Missing" , messy_sales!G382)</f>
        <v>Missing</v>
      </c>
    </row>
    <row r="383">
      <c r="A383" s="9" t="str">
        <f>messy_sales!A383</f>
        <v>ORD-01382</v>
      </c>
      <c r="B383" s="10">
        <f>IFERROR(DATEVALUE(messy_sales!B383), "Invalid Date")</f>
        <v>45664</v>
      </c>
      <c r="C383" s="9" t="str">
        <f>TRIM(messy_sales!C383)</f>
        <v>Adventure Works</v>
      </c>
      <c r="D383" s="9" t="str">
        <f>UPPER(TRIM(messy_sales!D383))</f>
        <v>CA</v>
      </c>
      <c r="E383" s="9" t="str">
        <f>messy_sales!E383</f>
        <v>North America</v>
      </c>
      <c r="F383" s="9" t="str">
        <f>messy_sales!F383</f>
        <v>Mid-Market</v>
      </c>
      <c r="G383" s="8">
        <f>IF(messy_sales!G383="", "Missing" , messy_sales!G383)</f>
        <v>4148.06</v>
      </c>
    </row>
    <row r="384">
      <c r="A384" s="9" t="str">
        <f>messy_sales!A384</f>
        <v>ORD-01383</v>
      </c>
      <c r="B384" s="10">
        <f>IFERROR(DATEVALUE(messy_sales!B384), "Invalid Date")</f>
        <v>45547</v>
      </c>
      <c r="C384" s="9" t="str">
        <f>TRIM(messy_sales!C384)</f>
        <v>Contoso Ltd</v>
      </c>
      <c r="D384" s="9" t="str">
        <f>UPPER(TRIM(messy_sales!D384))</f>
        <v>US</v>
      </c>
      <c r="E384" s="9" t="str">
        <f>messy_sales!E384</f>
        <v>North America</v>
      </c>
      <c r="F384" s="9" t="str">
        <f>messy_sales!F384</f>
        <v>Enterprise</v>
      </c>
      <c r="G384" s="8">
        <f>IF(messy_sales!G384="", "Missing" , messy_sales!G384)</f>
        <v>28392.52</v>
      </c>
    </row>
    <row r="385">
      <c r="A385" s="9" t="str">
        <f>messy_sales!A385</f>
        <v>ORD-01384</v>
      </c>
      <c r="B385" s="10">
        <f>IFERROR(DATEVALUE(messy_sales!B385), "Invalid Date")</f>
        <v>45553</v>
      </c>
      <c r="C385" s="9" t="str">
        <f>TRIM(messy_sales!C385)</f>
        <v>Great Barrier Retail</v>
      </c>
      <c r="D385" s="9" t="str">
        <f>UPPER(TRIM(messy_sales!D385))</f>
        <v>AU</v>
      </c>
      <c r="E385" s="9" t="str">
        <f>messy_sales!E385</f>
        <v>APAC</v>
      </c>
      <c r="F385" s="9" t="str">
        <f>messy_sales!F385</f>
        <v>SMB</v>
      </c>
      <c r="G385" s="8">
        <f>IF(messy_sales!G385="", "Missing" , messy_sales!G385)</f>
        <v>1341.45</v>
      </c>
    </row>
    <row r="386">
      <c r="A386" s="9" t="str">
        <f>messy_sales!A386</f>
        <v>ORD-01385</v>
      </c>
      <c r="B386" s="10">
        <f>IFERROR(DATEVALUE(messy_sales!B386), "Invalid Date")</f>
        <v>45834</v>
      </c>
      <c r="C386" s="9" t="str">
        <f>TRIM(messy_sales!C386)</f>
        <v>Nordwind Energie</v>
      </c>
      <c r="D386" s="9" t="str">
        <f>UPPER(TRIM(messy_sales!D386))</f>
        <v>DE</v>
      </c>
      <c r="E386" s="9" t="str">
        <f>messy_sales!E386</f>
        <v>EMEA</v>
      </c>
      <c r="F386" s="9" t="str">
        <f>messy_sales!F386</f>
        <v>Mid-Market</v>
      </c>
      <c r="G386" s="8">
        <f>IF(messy_sales!G386="", "Missing" , messy_sales!G386)</f>
        <v>8362</v>
      </c>
    </row>
    <row r="387">
      <c r="A387" s="9" t="str">
        <f>messy_sales!A387</f>
        <v>ORD-01386</v>
      </c>
      <c r="B387" s="10">
        <f>IFERROR(DATEVALUE(messy_sales!B387), "Invalid Date")</f>
        <v>45672</v>
      </c>
      <c r="C387" s="9" t="str">
        <f>TRIM(messy_sales!C387)</f>
        <v>Hanseatic Imports</v>
      </c>
      <c r="D387" s="9" t="str">
        <f>UPPER(TRIM(messy_sales!D387))</f>
        <v>DE</v>
      </c>
      <c r="E387" s="9" t="str">
        <f>messy_sales!E387</f>
        <v>EMEA</v>
      </c>
      <c r="F387" s="9" t="str">
        <f>messy_sales!F387</f>
        <v>SMB</v>
      </c>
      <c r="G387" s="8">
        <f>IF(messy_sales!G387="", "Missing" , messy_sales!G387)</f>
        <v>3359.3</v>
      </c>
    </row>
    <row r="388">
      <c r="A388" s="9" t="str">
        <f>messy_sales!A388</f>
        <v>ORD-01387</v>
      </c>
      <c r="B388" s="10">
        <f>IFERROR(DATEVALUE(messy_sales!B388), "Invalid Date")</f>
        <v>45427</v>
      </c>
      <c r="C388" s="9" t="str">
        <f>TRIM(messy_sales!C388)</f>
        <v>Proseware GmbH</v>
      </c>
      <c r="D388" s="9" t="str">
        <f>UPPER(TRIM(messy_sales!D388))</f>
        <v>DE</v>
      </c>
      <c r="E388" s="9" t="str">
        <f>messy_sales!E388</f>
        <v>EMEA</v>
      </c>
      <c r="F388" s="9" t="str">
        <f>messy_sales!F388</f>
        <v>Enterprise</v>
      </c>
      <c r="G388" s="8">
        <f>IF(messy_sales!G388="", "Missing" , messy_sales!G388)</f>
        <v>20291.68</v>
      </c>
    </row>
    <row r="389">
      <c r="A389" s="9" t="str">
        <f>messy_sales!A389</f>
        <v>ORD-01388</v>
      </c>
      <c r="B389" s="10">
        <f>IFERROR(DATEVALUE(messy_sales!B389), "Invalid Date")</f>
        <v>45302</v>
      </c>
      <c r="C389" s="9" t="str">
        <f>TRIM(messy_sales!C389)</f>
        <v>Northwind Traders</v>
      </c>
      <c r="D389" s="9" t="str">
        <f>UPPER(TRIM(messy_sales!D389))</f>
        <v>US</v>
      </c>
      <c r="E389" s="9" t="str">
        <f>messy_sales!E389</f>
        <v>North America</v>
      </c>
      <c r="F389" s="9" t="str">
        <f>messy_sales!F389</f>
        <v>Enterprise</v>
      </c>
      <c r="G389" s="8">
        <f>IF(messy_sales!G389="", "Missing" , messy_sales!G389)</f>
        <v>16697.13</v>
      </c>
    </row>
    <row r="390">
      <c r="A390" s="9" t="str">
        <f>messy_sales!A390</f>
        <v>ORD-01389</v>
      </c>
      <c r="B390" s="10">
        <f>IFERROR(DATEVALUE(messy_sales!B390), "Invalid Date")</f>
        <v>45714</v>
      </c>
      <c r="C390" s="9" t="str">
        <f>TRIM(messy_sales!C390)</f>
        <v>Wide World Importers</v>
      </c>
      <c r="D390" s="9" t="str">
        <f>UPPER(TRIM(messy_sales!D390))</f>
        <v>GB</v>
      </c>
      <c r="E390" s="9" t="str">
        <f>messy_sales!E390</f>
        <v>EMEA</v>
      </c>
      <c r="F390" s="9" t="str">
        <f>messy_sales!F390</f>
        <v>Mid-Market</v>
      </c>
      <c r="G390" s="8">
        <f>IF(messy_sales!G390="", "Missing" , messy_sales!G390)</f>
        <v>11916.01</v>
      </c>
    </row>
    <row r="391">
      <c r="A391" s="9" t="str">
        <f>messy_sales!A391</f>
        <v>ORD-01390</v>
      </c>
      <c r="B391" s="10">
        <f>IFERROR(DATEVALUE(messy_sales!B391), "Invalid Date")</f>
        <v>45654</v>
      </c>
      <c r="C391" s="9" t="str">
        <f>TRIM(messy_sales!C391)</f>
        <v>Tata Consultancy Retail</v>
      </c>
      <c r="D391" s="9" t="str">
        <f>UPPER(TRIM(messy_sales!D391))</f>
        <v>IN</v>
      </c>
      <c r="E391" s="9" t="str">
        <f>messy_sales!E391</f>
        <v>APAC</v>
      </c>
      <c r="F391" s="9" t="str">
        <f>messy_sales!F391</f>
        <v>Enterprise</v>
      </c>
      <c r="G391" s="8">
        <f>IF(messy_sales!G391="", "Missing" , messy_sales!G391)</f>
        <v>16414.43</v>
      </c>
    </row>
    <row r="392">
      <c r="A392" s="9" t="str">
        <f>messy_sales!A392</f>
        <v>ORD-01391</v>
      </c>
      <c r="B392" s="10">
        <f>IFERROR(DATEVALUE(messy_sales!B392), "Invalid Date")</f>
        <v>45580</v>
      </c>
      <c r="C392" s="9" t="str">
        <f>TRIM(messy_sales!C392)</f>
        <v>Fabrikam Inc</v>
      </c>
      <c r="D392" s="9" t="str">
        <f>UPPER(TRIM(messy_sales!D392))</f>
        <v>US</v>
      </c>
      <c r="E392" s="9" t="str">
        <f>messy_sales!E392</f>
        <v>North America</v>
      </c>
      <c r="F392" s="9" t="str">
        <f>messy_sales!F392</f>
        <v>Mid-Market</v>
      </c>
      <c r="G392" s="8">
        <f>IF(messy_sales!G392="", "Missing" , messy_sales!G392)</f>
        <v>11917.14</v>
      </c>
    </row>
    <row r="393">
      <c r="A393" s="9" t="str">
        <f>messy_sales!A393</f>
        <v>ORD-01392</v>
      </c>
      <c r="B393" s="10">
        <f>IFERROR(DATEVALUE(messy_sales!B393), "Invalid Date")</f>
        <v>45299</v>
      </c>
      <c r="C393" s="9" t="str">
        <f>TRIM(messy_sales!C393)</f>
        <v>Proseware GmbH</v>
      </c>
      <c r="D393" s="9" t="str">
        <f>UPPER(TRIM(messy_sales!D393))</f>
        <v>DE</v>
      </c>
      <c r="E393" s="9" t="str">
        <f>messy_sales!E393</f>
        <v>EMEA</v>
      </c>
      <c r="F393" s="9" t="str">
        <f>messy_sales!F393</f>
        <v>Enterprise</v>
      </c>
      <c r="G393" s="8">
        <f>IF(messy_sales!G393="", "Missing" , messy_sales!G393)</f>
        <v>12917.13</v>
      </c>
    </row>
    <row r="394">
      <c r="A394" s="9" t="str">
        <f>messy_sales!A394</f>
        <v>ORD-01393</v>
      </c>
      <c r="B394" s="10">
        <f>IFERROR(DATEVALUE(messy_sales!B394), "Invalid Date")</f>
        <v>45457</v>
      </c>
      <c r="C394" s="9" t="str">
        <f>TRIM(messy_sales!C394)</f>
        <v>Thames Valley Foods</v>
      </c>
      <c r="D394" s="9" t="str">
        <f>UPPER(TRIM(messy_sales!D394))</f>
        <v>GB</v>
      </c>
      <c r="E394" s="9" t="str">
        <f>messy_sales!E394</f>
        <v>EMEA</v>
      </c>
      <c r="F394" s="9" t="str">
        <f>messy_sales!F394</f>
        <v>Mid-Market</v>
      </c>
      <c r="G394" s="8">
        <f>IF(messy_sales!G394="", "Missing" , messy_sales!G394)</f>
        <v>9109.67</v>
      </c>
    </row>
    <row r="395">
      <c r="A395" s="9" t="str">
        <f>messy_sales!A395</f>
        <v>ORD-01394</v>
      </c>
      <c r="B395" s="10">
        <f>IFERROR(DATEVALUE(messy_sales!B395), "Invalid Date")</f>
        <v>45795</v>
      </c>
      <c r="C395" s="9" t="str">
        <f>TRIM(messy_sales!C395)</f>
        <v>Graphic Design Institute</v>
      </c>
      <c r="D395" s="9" t="str">
        <f>UPPER(TRIM(messy_sales!D395))</f>
        <v>GB</v>
      </c>
      <c r="E395" s="9" t="str">
        <f>messy_sales!E395</f>
        <v>EMEA</v>
      </c>
      <c r="F395" s="9" t="str">
        <f>messy_sales!F395</f>
        <v>SMB</v>
      </c>
      <c r="G395" s="8">
        <f>IF(messy_sales!G395="", "Missing" , messy_sales!G395)</f>
        <v>3120.41</v>
      </c>
    </row>
    <row r="396">
      <c r="A396" s="9" t="str">
        <f>messy_sales!A396</f>
        <v>ORD-01395</v>
      </c>
      <c r="B396" s="10">
        <f>IFERROR(DATEVALUE(messy_sales!B396), "Invalid Date")</f>
        <v>45682</v>
      </c>
      <c r="C396" s="9" t="str">
        <f>TRIM(messy_sales!C396)</f>
        <v>Marina Bay Retail</v>
      </c>
      <c r="D396" s="9" t="str">
        <f>UPPER(TRIM(messy_sales!D396))</f>
        <v>SG</v>
      </c>
      <c r="E396" s="9" t="str">
        <f>messy_sales!E396</f>
        <v>APAC</v>
      </c>
      <c r="F396" s="9" t="str">
        <f>messy_sales!F396</f>
        <v>Enterprise</v>
      </c>
      <c r="G396" s="8">
        <f>IF(messy_sales!G396="", "Missing" , messy_sales!G396)</f>
        <v>24431.23</v>
      </c>
    </row>
    <row r="397">
      <c r="A397" s="9" t="str">
        <f>messy_sales!A397</f>
        <v>ORD-01396</v>
      </c>
      <c r="B397" s="10">
        <f>IFERROR(DATEVALUE(messy_sales!B397), "Invalid Date")</f>
        <v>45332</v>
      </c>
      <c r="C397" s="9" t="str">
        <f>TRIM(messy_sales!C397)</f>
        <v>Delhi Textiles</v>
      </c>
      <c r="D397" s="9" t="str">
        <f>UPPER(TRIM(messy_sales!D397))</f>
        <v>IN</v>
      </c>
      <c r="E397" s="9" t="str">
        <f>messy_sales!E397</f>
        <v>APAC</v>
      </c>
      <c r="F397" s="9" t="str">
        <f>messy_sales!F397</f>
        <v>SMB</v>
      </c>
      <c r="G397" s="8">
        <f>IF(messy_sales!G397="", "Missing" , messy_sales!G397)</f>
        <v>1201.6</v>
      </c>
    </row>
    <row r="398">
      <c r="A398" s="9" t="str">
        <f>messy_sales!A398</f>
        <v>ORD-01397</v>
      </c>
      <c r="B398" s="10">
        <f>IFERROR(DATEVALUE(messy_sales!B398), "Invalid Date")</f>
        <v>45705</v>
      </c>
      <c r="C398" s="9" t="str">
        <f>TRIM(messy_sales!C398)</f>
        <v>Emirates Retail Group</v>
      </c>
      <c r="D398" s="9" t="str">
        <f>UPPER(TRIM(messy_sales!D398))</f>
        <v>AE</v>
      </c>
      <c r="E398" s="9" t="str">
        <f>messy_sales!E398</f>
        <v>EMEA</v>
      </c>
      <c r="F398" s="9" t="str">
        <f>messy_sales!F398</f>
        <v>Enterprise</v>
      </c>
      <c r="G398" s="8">
        <f>IF(messy_sales!G398="", "Missing" , messy_sales!G398)</f>
        <v>14142.47</v>
      </c>
    </row>
    <row r="399">
      <c r="A399" s="9" t="str">
        <f>messy_sales!A399</f>
        <v>ORD-01398</v>
      </c>
      <c r="B399" s="10">
        <f>IFERROR(DATEVALUE(messy_sales!B399), "Invalid Date")</f>
        <v>45786</v>
      </c>
      <c r="C399" s="9" t="str">
        <f>TRIM(messy_sales!C399)</f>
        <v>Pacific Northwest Co</v>
      </c>
      <c r="D399" s="9" t="str">
        <f>UPPER(TRIM(messy_sales!D399))</f>
        <v>US</v>
      </c>
      <c r="E399" s="9" t="str">
        <f>messy_sales!E399</f>
        <v>North America</v>
      </c>
      <c r="F399" s="9" t="str">
        <f>messy_sales!F399</f>
        <v>Mid-Market</v>
      </c>
      <c r="G399" s="8">
        <f>IF(messy_sales!G399="", "Missing" , messy_sales!G399)</f>
        <v>4871.42</v>
      </c>
    </row>
    <row r="400">
      <c r="A400" s="9" t="str">
        <f>messy_sales!A400</f>
        <v>ORD-01399</v>
      </c>
      <c r="B400" s="10">
        <f>IFERROR(DATEVALUE(messy_sales!B400), "Invalid Date")</f>
        <v>45691</v>
      </c>
      <c r="C400" s="9" t="str">
        <f>TRIM(messy_sales!C400)</f>
        <v>Marina Bay Retail</v>
      </c>
      <c r="D400" s="9" t="str">
        <f>UPPER(TRIM(messy_sales!D400))</f>
        <v>SG</v>
      </c>
      <c r="E400" s="9" t="str">
        <f>messy_sales!E400</f>
        <v>APAC</v>
      </c>
      <c r="F400" s="9" t="str">
        <f>messy_sales!F400</f>
        <v>Enterprise</v>
      </c>
      <c r="G400" s="8">
        <f>IF(messy_sales!G400="", "Missing" , messy_sales!G400)</f>
        <v>24250.32</v>
      </c>
    </row>
    <row r="401">
      <c r="A401" s="9" t="str">
        <f>messy_sales!A401</f>
        <v>ORD-01400</v>
      </c>
      <c r="B401" s="10">
        <f>IFERROR(DATEVALUE(messy_sales!B401), "Invalid Date")</f>
        <v>45437</v>
      </c>
      <c r="C401" s="9" t="str">
        <f>TRIM(messy_sales!C401)</f>
        <v>Proseware GmbH</v>
      </c>
      <c r="D401" s="9" t="str">
        <f>UPPER(TRIM(messy_sales!D401))</f>
        <v>DE</v>
      </c>
      <c r="E401" s="9" t="str">
        <f>messy_sales!E401</f>
        <v>EMEA</v>
      </c>
      <c r="F401" s="9" t="str">
        <f>messy_sales!F401</f>
        <v>Enterprise</v>
      </c>
      <c r="G401" s="8">
        <f>IF(messy_sales!G401="", "Missing" , messy_sales!G401)</f>
        <v>9507.95</v>
      </c>
    </row>
    <row r="402">
      <c r="A402" s="9" t="str">
        <f>messy_sales!A402</f>
        <v>ORD-01401</v>
      </c>
      <c r="B402" s="10">
        <f>IFERROR(DATEVALUE(messy_sales!B402), "Invalid Date")</f>
        <v>45300</v>
      </c>
      <c r="C402" s="9" t="str">
        <f>TRIM(messy_sales!C402)</f>
        <v>Adventure Works</v>
      </c>
      <c r="D402" s="9" t="str">
        <f>UPPER(TRIM(messy_sales!D402))</f>
        <v>CA</v>
      </c>
      <c r="E402" s="9" t="str">
        <f>messy_sales!E402</f>
        <v>North America</v>
      </c>
      <c r="F402" s="9" t="str">
        <f>messy_sales!F402</f>
        <v>Mid-Market</v>
      </c>
      <c r="G402" s="8">
        <f>IF(messy_sales!G402="", "Missing" , messy_sales!G402)</f>
        <v>8527.93</v>
      </c>
    </row>
    <row r="403">
      <c r="A403" s="9" t="str">
        <f>messy_sales!A403</f>
        <v>ORD-01402</v>
      </c>
      <c r="B403" s="10">
        <f>IFERROR(DATEVALUE(messy_sales!B403), "Invalid Date")</f>
        <v>45460</v>
      </c>
      <c r="C403" s="9" t="str">
        <f>TRIM(messy_sales!C403)</f>
        <v>Nordwind Energie</v>
      </c>
      <c r="D403" s="9" t="str">
        <f>UPPER(TRIM(messy_sales!D403))</f>
        <v>DE</v>
      </c>
      <c r="E403" s="9" t="str">
        <f>messy_sales!E403</f>
        <v>EMEA</v>
      </c>
      <c r="F403" s="9" t="str">
        <f>messy_sales!F403</f>
        <v>Mid-Market</v>
      </c>
      <c r="G403" s="8">
        <f>IF(messy_sales!G403="", "Missing" , messy_sales!G403)</f>
        <v>7178.54</v>
      </c>
    </row>
    <row r="404">
      <c r="A404" s="9" t="str">
        <f>messy_sales!A404</f>
        <v>ORD-01403</v>
      </c>
      <c r="B404" s="10">
        <f>IFERROR(DATEVALUE(messy_sales!B404), "Invalid Date")</f>
        <v>45312</v>
      </c>
      <c r="C404" s="9" t="str">
        <f>TRIM(messy_sales!C404)</f>
        <v>Bengaluru Softworks</v>
      </c>
      <c r="D404" s="9" t="str">
        <f>UPPER(TRIM(messy_sales!D404))</f>
        <v>IN</v>
      </c>
      <c r="E404" s="9" t="str">
        <f>messy_sales!E404</f>
        <v>APAC</v>
      </c>
      <c r="F404" s="9" t="str">
        <f>messy_sales!F404</f>
        <v>Mid-Market</v>
      </c>
      <c r="G404" s="8">
        <f>IF(messy_sales!G404="", "Missing" , messy_sales!G404)</f>
        <v>8603.1</v>
      </c>
    </row>
    <row r="405">
      <c r="A405" s="9" t="str">
        <f>messy_sales!A405</f>
        <v>ORD-01404</v>
      </c>
      <c r="B405" s="10">
        <f>IFERROR(DATEVALUE(messy_sales!B405), "Invalid Date")</f>
        <v>45795</v>
      </c>
      <c r="C405" s="9" t="str">
        <f>TRIM(messy_sales!C405)</f>
        <v>Tata Consultancy Retail</v>
      </c>
      <c r="D405" s="9" t="str">
        <f>UPPER(TRIM(messy_sales!D405))</f>
        <v>IN</v>
      </c>
      <c r="E405" s="9" t="str">
        <f>messy_sales!E405</f>
        <v>APAC</v>
      </c>
      <c r="F405" s="9" t="str">
        <f>messy_sales!F405</f>
        <v>Enterprise</v>
      </c>
      <c r="G405" s="8">
        <f>IF(messy_sales!G405="", "Missing" , messy_sales!G405)</f>
        <v>10670.73</v>
      </c>
    </row>
    <row r="406">
      <c r="A406" s="9" t="str">
        <f>messy_sales!A406</f>
        <v>ORD-01405</v>
      </c>
      <c r="B406" s="10">
        <f>IFERROR(DATEVALUE(messy_sales!B406), "Invalid Date")</f>
        <v>45743</v>
      </c>
      <c r="C406" s="9" t="str">
        <f>TRIM(messy_sales!C406)</f>
        <v>Great Barrier Retail</v>
      </c>
      <c r="D406" s="9" t="str">
        <f>UPPER(TRIM(messy_sales!D406))</f>
        <v>AU</v>
      </c>
      <c r="E406" s="9" t="str">
        <f>messy_sales!E406</f>
        <v>APAC</v>
      </c>
      <c r="F406" s="9" t="str">
        <f>messy_sales!F406</f>
        <v>SMB</v>
      </c>
      <c r="G406" s="8">
        <f>IF(messy_sales!G406="", "Missing" , messy_sales!G406)</f>
        <v>2763.08</v>
      </c>
    </row>
    <row r="407">
      <c r="A407" s="9" t="str">
        <f>messy_sales!A407</f>
        <v>ORD-01406</v>
      </c>
      <c r="B407" s="10">
        <f>IFERROR(DATEVALUE(messy_sales!B407), "Invalid Date")</f>
        <v>45508</v>
      </c>
      <c r="C407" s="9" t="str">
        <f>TRIM(messy_sales!C407)</f>
        <v>Great Barrier Retail</v>
      </c>
      <c r="D407" s="9" t="str">
        <f>UPPER(TRIM(messy_sales!D407))</f>
        <v>AU</v>
      </c>
      <c r="E407" s="9" t="str">
        <f>messy_sales!E407</f>
        <v>APAC</v>
      </c>
      <c r="F407" s="9" t="str">
        <f>messy_sales!F407</f>
        <v>SMB</v>
      </c>
      <c r="G407" s="8">
        <f>IF(messy_sales!G407="", "Missing" , messy_sales!G407)</f>
        <v>2486.08</v>
      </c>
    </row>
    <row r="408">
      <c r="A408" s="9" t="str">
        <f>messy_sales!A408</f>
        <v>ORD-01407</v>
      </c>
      <c r="B408" s="10">
        <f>IFERROR(DATEVALUE(messy_sales!B408), "Invalid Date")</f>
        <v>45540</v>
      </c>
      <c r="C408" s="9" t="str">
        <f>TRIM(messy_sales!C408)</f>
        <v>Pacific Northwest Co</v>
      </c>
      <c r="D408" s="9" t="str">
        <f>UPPER(TRIM(messy_sales!D408))</f>
        <v>US</v>
      </c>
      <c r="E408" s="9" t="str">
        <f>messy_sales!E408</f>
        <v>North America</v>
      </c>
      <c r="F408" s="9" t="str">
        <f>messy_sales!F408</f>
        <v>Mid-Market</v>
      </c>
      <c r="G408" s="8">
        <f>IF(messy_sales!G408="", "Missing" , messy_sales!G408)</f>
        <v>8912.28</v>
      </c>
    </row>
    <row r="409">
      <c r="A409" s="9" t="str">
        <f>messy_sales!A409</f>
        <v>ORD-01408</v>
      </c>
      <c r="B409" s="10">
        <f>IFERROR(DATEVALUE(messy_sales!B409), "Invalid Date")</f>
        <v>45813</v>
      </c>
      <c r="C409" s="9" t="str">
        <f>TRIM(messy_sales!C409)</f>
        <v>Northwind Traders</v>
      </c>
      <c r="D409" s="9" t="str">
        <f>UPPER(TRIM(messy_sales!D409))</f>
        <v>US</v>
      </c>
      <c r="E409" s="9" t="str">
        <f>messy_sales!E409</f>
        <v>North America</v>
      </c>
      <c r="F409" s="9" t="str">
        <f>messy_sales!F409</f>
        <v>Enterprise</v>
      </c>
      <c r="G409" s="8">
        <f>IF(messy_sales!G409="", "Missing" , messy_sales!G409)</f>
        <v>28407.62</v>
      </c>
    </row>
    <row r="410">
      <c r="A410" s="9" t="str">
        <f>messy_sales!A410</f>
        <v>ORD-01409</v>
      </c>
      <c r="B410" s="10">
        <f>IFERROR(DATEVALUE(messy_sales!B410), "Invalid Date")</f>
        <v>45454</v>
      </c>
      <c r="C410" s="9" t="str">
        <f>TRIM(messy_sales!C410)</f>
        <v>Emirates Retail Group</v>
      </c>
      <c r="D410" s="9" t="str">
        <f>UPPER(TRIM(messy_sales!D410))</f>
        <v>AE</v>
      </c>
      <c r="E410" s="9" t="str">
        <f>messy_sales!E410</f>
        <v>EMEA</v>
      </c>
      <c r="F410" s="9" t="str">
        <f>messy_sales!F410</f>
        <v>Enterprise</v>
      </c>
      <c r="G410" s="8">
        <f>IF(messy_sales!G410="", "Missing" , messy_sales!G410)</f>
        <v>23087.72</v>
      </c>
    </row>
    <row r="411">
      <c r="A411" s="9" t="str">
        <f>messy_sales!A411</f>
        <v>ORD-01410</v>
      </c>
      <c r="B411" s="10">
        <f>IFERROR(DATEVALUE(messy_sales!B411), "Invalid Date")</f>
        <v>45743</v>
      </c>
      <c r="C411" s="9" t="str">
        <f>TRIM(messy_sales!C411)</f>
        <v>Nordwind Energie</v>
      </c>
      <c r="D411" s="9" t="str">
        <f>UPPER(TRIM(messy_sales!D411))</f>
        <v>DE</v>
      </c>
      <c r="E411" s="9" t="str">
        <f>messy_sales!E411</f>
        <v>EMEA</v>
      </c>
      <c r="F411" s="9" t="str">
        <f>messy_sales!F411</f>
        <v>Mid-Market</v>
      </c>
      <c r="G411" s="8">
        <f>IF(messy_sales!G411="", "Missing" , messy_sales!G411)</f>
        <v>9543.3</v>
      </c>
    </row>
    <row r="412">
      <c r="A412" s="9" t="str">
        <f>messy_sales!A412</f>
        <v>ORD-01411</v>
      </c>
      <c r="B412" s="10">
        <f>IFERROR(DATEVALUE(messy_sales!B412), "Invalid Date")</f>
        <v>45680</v>
      </c>
      <c r="C412" s="9" t="str">
        <f>TRIM(messy_sales!C412)</f>
        <v>Nordwind Energie</v>
      </c>
      <c r="D412" s="9" t="str">
        <f>UPPER(TRIM(messy_sales!D412))</f>
        <v>DE</v>
      </c>
      <c r="E412" s="9" t="str">
        <f>messy_sales!E412</f>
        <v>EMEA</v>
      </c>
      <c r="F412" s="9" t="str">
        <f>messy_sales!F412</f>
        <v>Mid-Market</v>
      </c>
      <c r="G412" s="8">
        <f>IF(messy_sales!G412="", "Missing" , messy_sales!G412)</f>
        <v>6705.84</v>
      </c>
    </row>
    <row r="413">
      <c r="A413" s="9" t="str">
        <f>messy_sales!A413</f>
        <v>ORD-01412</v>
      </c>
      <c r="B413" s="10">
        <f>IFERROR(DATEVALUE(messy_sales!B413), "Invalid Date")</f>
        <v>45348</v>
      </c>
      <c r="C413" s="9" t="str">
        <f>TRIM(messy_sales!C413)</f>
        <v>Northwind Traders</v>
      </c>
      <c r="D413" s="9" t="str">
        <f>UPPER(TRIM(messy_sales!D413))</f>
        <v>US</v>
      </c>
      <c r="E413" s="9" t="str">
        <f>messy_sales!E413</f>
        <v>North America</v>
      </c>
      <c r="F413" s="9" t="str">
        <f>messy_sales!F413</f>
        <v>Enterprise</v>
      </c>
      <c r="G413" s="8">
        <f>IF(messy_sales!G413="", "Missing" , messy_sales!G413)</f>
        <v>11516.62</v>
      </c>
    </row>
    <row r="414">
      <c r="A414" s="9" t="str">
        <f>messy_sales!A414</f>
        <v>ORD-01413</v>
      </c>
      <c r="B414" s="10">
        <f>IFERROR(DATEVALUE(messy_sales!B414), "Invalid Date")</f>
        <v>45405</v>
      </c>
      <c r="C414" s="9" t="str">
        <f>TRIM(messy_sales!C414)</f>
        <v>Contoso Ltd</v>
      </c>
      <c r="D414" s="9" t="str">
        <f>UPPER(TRIM(messy_sales!D414))</f>
        <v>US</v>
      </c>
      <c r="E414" s="9" t="str">
        <f>messy_sales!E414</f>
        <v>North America</v>
      </c>
      <c r="F414" s="9" t="str">
        <f>messy_sales!F414</f>
        <v>Enterprise</v>
      </c>
      <c r="G414" s="8">
        <f>IF(messy_sales!G414="", "Missing" , messy_sales!G414)</f>
        <v>31681.09</v>
      </c>
    </row>
    <row r="415">
      <c r="A415" s="9" t="str">
        <f>messy_sales!A415</f>
        <v>ORD-01414</v>
      </c>
      <c r="B415" s="10">
        <f>IFERROR(DATEVALUE(messy_sales!B415), "Invalid Date")</f>
        <v>45377</v>
      </c>
      <c r="C415" s="9" t="str">
        <f>TRIM(messy_sales!C415)</f>
        <v>Northwind Traders</v>
      </c>
      <c r="D415" s="9" t="str">
        <f>UPPER(TRIM(messy_sales!D415))</f>
        <v>US</v>
      </c>
      <c r="E415" s="9" t="str">
        <f>messy_sales!E415</f>
        <v>North America</v>
      </c>
      <c r="F415" s="9" t="str">
        <f>messy_sales!F415</f>
        <v>Enterprise</v>
      </c>
      <c r="G415" s="8">
        <f>IF(messy_sales!G415="", "Missing" , messy_sales!G415)</f>
        <v>17576.96</v>
      </c>
    </row>
    <row r="416">
      <c r="A416" s="9" t="str">
        <f>messy_sales!A416</f>
        <v>ORD-01415</v>
      </c>
      <c r="B416" s="10">
        <f>IFERROR(DATEVALUE(messy_sales!B416), "Invalid Date")</f>
        <v>45528</v>
      </c>
      <c r="C416" s="9" t="str">
        <f>TRIM(messy_sales!C416)</f>
        <v>Wingtip Retail</v>
      </c>
      <c r="D416" s="9" t="str">
        <f>UPPER(TRIM(messy_sales!D416))</f>
        <v>US</v>
      </c>
      <c r="E416" s="9" t="str">
        <f>messy_sales!E416</f>
        <v>North America</v>
      </c>
      <c r="F416" s="9" t="str">
        <f>messy_sales!F416</f>
        <v>SMB</v>
      </c>
      <c r="G416" s="8">
        <f>IF(messy_sales!G416="", "Missing" , messy_sales!G416)</f>
        <v>2963.81</v>
      </c>
    </row>
    <row r="417">
      <c r="A417" s="9" t="str">
        <f>messy_sales!A417</f>
        <v>ORD-01416</v>
      </c>
      <c r="B417" s="10" t="str">
        <f>IFERROR(DATEVALUE(messy_sales!B417), "Invalid Date")</f>
        <v>Invalid Date</v>
      </c>
      <c r="C417" s="9" t="str">
        <f>TRIM(messy_sales!C417)</f>
        <v>Contoso Ltd</v>
      </c>
      <c r="D417" s="9" t="str">
        <f>UPPER(TRIM(messy_sales!D417))</f>
        <v>US</v>
      </c>
      <c r="E417" s="9" t="str">
        <f>messy_sales!E417</f>
        <v>North America</v>
      </c>
      <c r="F417" s="9" t="str">
        <f>messy_sales!F417</f>
        <v>Enterprise</v>
      </c>
      <c r="G417" s="8">
        <f>IF(messy_sales!G417="", "Missing" , messy_sales!G417)</f>
        <v>28913.05</v>
      </c>
    </row>
    <row r="418">
      <c r="A418" s="9" t="str">
        <f>messy_sales!A418</f>
        <v>ORD-01417</v>
      </c>
      <c r="B418" s="10">
        <f>IFERROR(DATEVALUE(messy_sales!B418), "Invalid Date")</f>
        <v>45341</v>
      </c>
      <c r="C418" s="9" t="str">
        <f>TRIM(messy_sales!C418)</f>
        <v>Coho Vineyard</v>
      </c>
      <c r="D418" s="9" t="str">
        <f>UPPER(TRIM(messy_sales!D418))</f>
        <v>US</v>
      </c>
      <c r="E418" s="9" t="str">
        <f>messy_sales!E418</f>
        <v>North America</v>
      </c>
      <c r="F418" s="9" t="str">
        <f>messy_sales!F418</f>
        <v>SMB</v>
      </c>
      <c r="G418" s="8">
        <f>IF(messy_sales!G418="", "Missing" , messy_sales!G418)</f>
        <v>2003.64</v>
      </c>
    </row>
    <row r="419">
      <c r="A419" s="9" t="str">
        <f>messy_sales!A419</f>
        <v>ORD-01418</v>
      </c>
      <c r="B419" s="10">
        <f>IFERROR(DATEVALUE(messy_sales!B419), "Invalid Date")</f>
        <v>45561</v>
      </c>
      <c r="C419" s="9" t="str">
        <f>TRIM(messy_sales!C419)</f>
        <v>Adventure Works</v>
      </c>
      <c r="D419" s="9" t="str">
        <f>UPPER(TRIM(messy_sales!D419))</f>
        <v>CA</v>
      </c>
      <c r="E419" s="9" t="str">
        <f>messy_sales!E419</f>
        <v>North America</v>
      </c>
      <c r="F419" s="9" t="str">
        <f>messy_sales!F419</f>
        <v>Mid-Market</v>
      </c>
      <c r="G419" s="8">
        <f>IF(messy_sales!G419="", "Missing" , messy_sales!G419)</f>
        <v>4348.26</v>
      </c>
    </row>
    <row r="420">
      <c r="A420" s="9" t="str">
        <f>messy_sales!A420</f>
        <v>ORD-01419</v>
      </c>
      <c r="B420" s="10">
        <f>IFERROR(DATEVALUE(messy_sales!B420), "Invalid Date")</f>
        <v>45789</v>
      </c>
      <c r="C420" s="9" t="str">
        <f>TRIM(messy_sales!C420)</f>
        <v>Adventure Works</v>
      </c>
      <c r="D420" s="9" t="str">
        <f>UPPER(TRIM(messy_sales!D420))</f>
        <v>CA</v>
      </c>
      <c r="E420" s="9" t="str">
        <f>messy_sales!E420</f>
        <v>North America</v>
      </c>
      <c r="F420" s="9" t="str">
        <f>messy_sales!F420</f>
        <v>Mid-Market</v>
      </c>
      <c r="G420" s="8">
        <f>IF(messy_sales!G420="", "Missing" , messy_sales!G420)</f>
        <v>4875.49</v>
      </c>
    </row>
    <row r="421">
      <c r="A421" s="9" t="str">
        <f>messy_sales!A421</f>
        <v>ORD-01420</v>
      </c>
      <c r="B421" s="10">
        <f>IFERROR(DATEVALUE(messy_sales!B421), "Invalid Date")</f>
        <v>45835</v>
      </c>
      <c r="C421" s="9" t="str">
        <f>TRIM(messy_sales!C421)</f>
        <v>Coho Vineyard</v>
      </c>
      <c r="D421" s="9" t="str">
        <f>UPPER(TRIM(messy_sales!D421))</f>
        <v>US</v>
      </c>
      <c r="E421" s="9" t="str">
        <f>messy_sales!E421</f>
        <v>North America</v>
      </c>
      <c r="F421" s="9" t="str">
        <f>messy_sales!F421</f>
        <v>SMB</v>
      </c>
      <c r="G421" s="8">
        <f>IF(messy_sales!G421="", "Missing" , messy_sales!G421)</f>
        <v>3262.64</v>
      </c>
    </row>
    <row r="422">
      <c r="A422" s="9" t="str">
        <f>messy_sales!A422</f>
        <v>ORD-01421</v>
      </c>
      <c r="B422" s="10">
        <f>IFERROR(DATEVALUE(messy_sales!B422), "Invalid Date")</f>
        <v>45527</v>
      </c>
      <c r="C422" s="9" t="str">
        <f>TRIM(messy_sales!C422)</f>
        <v>Northwind Traders</v>
      </c>
      <c r="D422" s="9" t="str">
        <f>UPPER(TRIM(messy_sales!D422))</f>
        <v>US</v>
      </c>
      <c r="E422" s="9" t="str">
        <f>messy_sales!E422</f>
        <v>North America</v>
      </c>
      <c r="F422" s="9" t="str">
        <f>messy_sales!F422</f>
        <v>Enterprise</v>
      </c>
      <c r="G422" s="8">
        <f>IF(messy_sales!G422="", "Missing" , messy_sales!G422)</f>
        <v>15520.16</v>
      </c>
    </row>
    <row r="423">
      <c r="A423" s="9" t="str">
        <f>messy_sales!A423</f>
        <v>ORD-01422</v>
      </c>
      <c r="B423" s="10">
        <f>IFERROR(DATEVALUE(messy_sales!B423), "Invalid Date")</f>
        <v>45682</v>
      </c>
      <c r="C423" s="9" t="str">
        <f>TRIM(messy_sales!C423)</f>
        <v>Fabrikam Inc</v>
      </c>
      <c r="D423" s="9" t="str">
        <f>UPPER(TRIM(messy_sales!D423))</f>
        <v>US</v>
      </c>
      <c r="E423" s="9" t="str">
        <f>messy_sales!E423</f>
        <v>North America</v>
      </c>
      <c r="F423" s="9" t="str">
        <f>messy_sales!F423</f>
        <v>Mid-Market</v>
      </c>
      <c r="G423" s="8">
        <f>IF(messy_sales!G423="", "Missing" , messy_sales!G423)</f>
        <v>4716.65</v>
      </c>
    </row>
    <row r="424">
      <c r="A424" s="9" t="str">
        <f>messy_sales!A424</f>
        <v>ORD-01423</v>
      </c>
      <c r="B424" s="10">
        <f>IFERROR(DATEVALUE(messy_sales!B424), "Invalid Date")</f>
        <v>45707</v>
      </c>
      <c r="C424" s="9" t="str">
        <f>TRIM(messy_sales!C424)</f>
        <v>Great Barrier Retail</v>
      </c>
      <c r="D424" s="9" t="str">
        <f>UPPER(TRIM(messy_sales!D424))</f>
        <v>AU</v>
      </c>
      <c r="E424" s="9" t="str">
        <f>messy_sales!E424</f>
        <v>APAC</v>
      </c>
      <c r="F424" s="9" t="str">
        <f>messy_sales!F424</f>
        <v>SMB</v>
      </c>
      <c r="G424" s="8">
        <f>IF(messy_sales!G424="", "Missing" , messy_sales!G424)</f>
        <v>1110.82</v>
      </c>
    </row>
    <row r="425">
      <c r="A425" s="9" t="str">
        <f>messy_sales!A425</f>
        <v>ORD-01424</v>
      </c>
      <c r="B425" s="10">
        <f>IFERROR(DATEVALUE(messy_sales!B425), "Invalid Date")</f>
        <v>45813</v>
      </c>
      <c r="C425" s="9" t="str">
        <f>TRIM(messy_sales!C425)</f>
        <v>Marina Bay Retail</v>
      </c>
      <c r="D425" s="9" t="str">
        <f>UPPER(TRIM(messy_sales!D425))</f>
        <v>SG</v>
      </c>
      <c r="E425" s="9" t="str">
        <f>messy_sales!E425</f>
        <v>APAC</v>
      </c>
      <c r="F425" s="9" t="str">
        <f>messy_sales!F425</f>
        <v>Enterprise</v>
      </c>
      <c r="G425" s="8">
        <f>IF(messy_sales!G425="", "Missing" , messy_sales!G425)</f>
        <v>28391.36</v>
      </c>
    </row>
    <row r="426">
      <c r="A426" s="9" t="str">
        <f>messy_sales!A426</f>
        <v>ORD-01425</v>
      </c>
      <c r="B426" s="10">
        <f>IFERROR(DATEVALUE(messy_sales!B426), "Invalid Date")</f>
        <v>45611</v>
      </c>
      <c r="C426" s="9" t="str">
        <f>TRIM(messy_sales!C426)</f>
        <v>Sydney Harbour Goods</v>
      </c>
      <c r="D426" s="9" t="str">
        <f>UPPER(TRIM(messy_sales!D426))</f>
        <v>AU</v>
      </c>
      <c r="E426" s="9" t="str">
        <f>messy_sales!E426</f>
        <v>APAC</v>
      </c>
      <c r="F426" s="9" t="str">
        <f>messy_sales!F426</f>
        <v>SMB</v>
      </c>
      <c r="G426" s="8">
        <f>IF(messy_sales!G426="", "Missing" , messy_sales!G426)</f>
        <v>3308.65</v>
      </c>
    </row>
    <row r="427">
      <c r="A427" s="9" t="str">
        <f>messy_sales!A427</f>
        <v>ORD-01426</v>
      </c>
      <c r="B427" s="10">
        <f>IFERROR(DATEVALUE(messy_sales!B427), "Invalid Date")</f>
        <v>45458</v>
      </c>
      <c r="C427" s="9" t="str">
        <f>TRIM(messy_sales!C427)</f>
        <v>Contoso Ltd</v>
      </c>
      <c r="D427" s="9" t="str">
        <f>UPPER(TRIM(messy_sales!D427))</f>
        <v>US</v>
      </c>
      <c r="E427" s="9" t="str">
        <f>messy_sales!E427</f>
        <v>North America</v>
      </c>
      <c r="F427" s="9" t="str">
        <f>messy_sales!F427</f>
        <v>Enterprise</v>
      </c>
      <c r="G427" s="8">
        <f>IF(messy_sales!G427="", "Missing" , messy_sales!G427)</f>
        <v>14366.56</v>
      </c>
    </row>
    <row r="428">
      <c r="A428" s="9" t="str">
        <f>messy_sales!A428</f>
        <v>ORD-01427</v>
      </c>
      <c r="B428" s="10">
        <f>IFERROR(DATEVALUE(messy_sales!B428), "Invalid Date")</f>
        <v>45413</v>
      </c>
      <c r="C428" s="9" t="str">
        <f>TRIM(messy_sales!C428)</f>
        <v>Marina Bay Retail</v>
      </c>
      <c r="D428" s="9" t="str">
        <f>UPPER(TRIM(messy_sales!D428))</f>
        <v>SG</v>
      </c>
      <c r="E428" s="9" t="str">
        <f>messy_sales!E428</f>
        <v>APAC</v>
      </c>
      <c r="F428" s="9" t="str">
        <f>messy_sales!F428</f>
        <v>Enterprise</v>
      </c>
      <c r="G428" s="8">
        <f>IF(messy_sales!G428="", "Missing" , messy_sales!G428)</f>
        <v>29739.08</v>
      </c>
    </row>
    <row r="429">
      <c r="A429" s="9" t="str">
        <f>messy_sales!A429</f>
        <v>ORD-01428</v>
      </c>
      <c r="B429" s="10">
        <f>IFERROR(DATEVALUE(messy_sales!B429), "Invalid Date")</f>
        <v>45641</v>
      </c>
      <c r="C429" s="9" t="str">
        <f>TRIM(messy_sales!C429)</f>
        <v>Gulf Logistics</v>
      </c>
      <c r="D429" s="9" t="str">
        <f>UPPER(TRIM(messy_sales!D429))</f>
        <v>AE</v>
      </c>
      <c r="E429" s="9" t="str">
        <f>messy_sales!E429</f>
        <v>EMEA</v>
      </c>
      <c r="F429" s="9" t="str">
        <f>messy_sales!F429</f>
        <v>Enterprise</v>
      </c>
      <c r="G429" s="8">
        <f>IF(messy_sales!G429="", "Missing" , messy_sales!G429)</f>
        <v>28089.41</v>
      </c>
    </row>
    <row r="430">
      <c r="A430" s="9" t="str">
        <f>messy_sales!A430</f>
        <v>ORD-01429</v>
      </c>
      <c r="B430" s="10">
        <f>IFERROR(DATEVALUE(messy_sales!B430), "Invalid Date")</f>
        <v>45520</v>
      </c>
      <c r="C430" s="9" t="str">
        <f>TRIM(messy_sales!C430)</f>
        <v>Coho Vineyard</v>
      </c>
      <c r="D430" s="9" t="str">
        <f>UPPER(TRIM(messy_sales!D430))</f>
        <v>US</v>
      </c>
      <c r="E430" s="9" t="str">
        <f>messy_sales!E430</f>
        <v>North America</v>
      </c>
      <c r="F430" s="9" t="str">
        <f>messy_sales!F430</f>
        <v>SMB</v>
      </c>
      <c r="G430" s="8">
        <f>IF(messy_sales!G430="", "Missing" , messy_sales!G430)</f>
        <v>1682.47</v>
      </c>
    </row>
    <row r="431">
      <c r="A431" s="9" t="str">
        <f>messy_sales!A431</f>
        <v>ORD-01430</v>
      </c>
      <c r="B431" s="10">
        <f>IFERROR(DATEVALUE(messy_sales!B431), "Invalid Date")</f>
        <v>45629</v>
      </c>
      <c r="C431" s="9" t="str">
        <f>TRIM(messy_sales!C431)</f>
        <v>Delhi Textiles</v>
      </c>
      <c r="D431" s="9" t="str">
        <f>UPPER(TRIM(messy_sales!D431))</f>
        <v>IN</v>
      </c>
      <c r="E431" s="9" t="str">
        <f>messy_sales!E431</f>
        <v>APAC</v>
      </c>
      <c r="F431" s="9" t="str">
        <f>messy_sales!F431</f>
        <v>SMB</v>
      </c>
      <c r="G431" s="8">
        <f>IF(messy_sales!G431="", "Missing" , messy_sales!G431)</f>
        <v>391.3</v>
      </c>
    </row>
    <row r="432">
      <c r="A432" s="9" t="str">
        <f>messy_sales!A432</f>
        <v>ORD-01431</v>
      </c>
      <c r="B432" s="10">
        <f>IFERROR(DATEVALUE(messy_sales!B432), "Invalid Date")</f>
        <v>45569</v>
      </c>
      <c r="C432" s="9" t="str">
        <f>TRIM(messy_sales!C432)</f>
        <v>Hanseatic Imports</v>
      </c>
      <c r="D432" s="9" t="str">
        <f>UPPER(TRIM(messy_sales!D432))</f>
        <v>DE</v>
      </c>
      <c r="E432" s="9" t="str">
        <f>messy_sales!E432</f>
        <v>EMEA</v>
      </c>
      <c r="F432" s="9" t="str">
        <f>messy_sales!F432</f>
        <v>SMB</v>
      </c>
      <c r="G432" s="8">
        <f>IF(messy_sales!G432="", "Missing" , messy_sales!G432)</f>
        <v>2742.26</v>
      </c>
    </row>
    <row r="433">
      <c r="A433" s="9" t="str">
        <f>messy_sales!A433</f>
        <v>ORD-01432</v>
      </c>
      <c r="B433" s="10">
        <f>IFERROR(DATEVALUE(messy_sales!B433), "Invalid Date")</f>
        <v>45481</v>
      </c>
      <c r="C433" s="9" t="str">
        <f>TRIM(messy_sales!C433)</f>
        <v>Nordwind Energie</v>
      </c>
      <c r="D433" s="9" t="str">
        <f>UPPER(TRIM(messy_sales!D433))</f>
        <v>DE</v>
      </c>
      <c r="E433" s="9" t="str">
        <f>messy_sales!E433</f>
        <v>EMEA</v>
      </c>
      <c r="F433" s="9" t="str">
        <f>messy_sales!F433</f>
        <v>Mid-Market</v>
      </c>
      <c r="G433" s="8">
        <f>IF(messy_sales!G433="", "Missing" , messy_sales!G433)</f>
        <v>6374.57</v>
      </c>
    </row>
    <row r="434">
      <c r="A434" s="9" t="str">
        <f>messy_sales!A434</f>
        <v>ORD-01433</v>
      </c>
      <c r="B434" s="10">
        <f>IFERROR(DATEVALUE(messy_sales!B434), "Invalid Date")</f>
        <v>45586</v>
      </c>
      <c r="C434" s="9" t="str">
        <f>TRIM(messy_sales!C434)</f>
        <v>Coho Vineyard</v>
      </c>
      <c r="D434" s="9" t="str">
        <f>UPPER(TRIM(messy_sales!D434))</f>
        <v>US</v>
      </c>
      <c r="E434" s="9" t="str">
        <f>messy_sales!E434</f>
        <v>North America</v>
      </c>
      <c r="F434" s="9" t="str">
        <f>messy_sales!F434</f>
        <v>SMB</v>
      </c>
      <c r="G434" s="8">
        <f>IF(messy_sales!G434="", "Missing" , messy_sales!G434)</f>
        <v>2854.7</v>
      </c>
    </row>
    <row r="435">
      <c r="A435" s="9" t="str">
        <f>messy_sales!A435</f>
        <v>ORD-01434</v>
      </c>
      <c r="B435" s="10">
        <f>IFERROR(DATEVALUE(messy_sales!B435), "Invalid Date")</f>
        <v>45573</v>
      </c>
      <c r="C435" s="9" t="str">
        <f>TRIM(messy_sales!C435)</f>
        <v>Contoso Ltd</v>
      </c>
      <c r="D435" s="9" t="str">
        <f>UPPER(TRIM(messy_sales!D435))</f>
        <v>US</v>
      </c>
      <c r="E435" s="9" t="str">
        <f>messy_sales!E435</f>
        <v>North America</v>
      </c>
      <c r="F435" s="9" t="str">
        <f>messy_sales!F435</f>
        <v>Enterprise</v>
      </c>
      <c r="G435" s="8">
        <f>IF(messy_sales!G435="", "Missing" , messy_sales!G435)</f>
        <v>14090.95</v>
      </c>
    </row>
    <row r="436">
      <c r="A436" s="9" t="str">
        <f>messy_sales!A436</f>
        <v>ORD-01435</v>
      </c>
      <c r="B436" s="10">
        <f>IFERROR(DATEVALUE(messy_sales!B436), "Invalid Date")</f>
        <v>45334</v>
      </c>
      <c r="C436" s="9" t="str">
        <f>TRIM(messy_sales!C436)</f>
        <v>Tailspin Toys</v>
      </c>
      <c r="D436" s="9" t="str">
        <f>UPPER(TRIM(messy_sales!D436))</f>
        <v>CA</v>
      </c>
      <c r="E436" s="9" t="str">
        <f>messy_sales!E436</f>
        <v>North America</v>
      </c>
      <c r="F436" s="9" t="str">
        <f>messy_sales!F436</f>
        <v>SMB</v>
      </c>
      <c r="G436" s="8">
        <f>IF(messy_sales!G436="", "Missing" , messy_sales!G436)</f>
        <v>1163.51</v>
      </c>
    </row>
    <row r="437">
      <c r="A437" s="9" t="str">
        <f>messy_sales!A437</f>
        <v>ORD-01436</v>
      </c>
      <c r="B437" s="10">
        <f>IFERROR(DATEVALUE(messy_sales!B437), "Invalid Date")</f>
        <v>45519</v>
      </c>
      <c r="C437" s="9" t="str">
        <f>TRIM(messy_sales!C437)</f>
        <v>Northwind Traders</v>
      </c>
      <c r="D437" s="9" t="str">
        <f>UPPER(TRIM(messy_sales!D437))</f>
        <v>US</v>
      </c>
      <c r="E437" s="9" t="str">
        <f>messy_sales!E437</f>
        <v>North America</v>
      </c>
      <c r="F437" s="9" t="str">
        <f>messy_sales!F437</f>
        <v>Enterprise</v>
      </c>
      <c r="G437" s="8">
        <f>IF(messy_sales!G437="", "Missing" , messy_sales!G437)</f>
        <v>40375.13</v>
      </c>
    </row>
    <row r="438">
      <c r="A438" s="9" t="str">
        <f>messy_sales!A438</f>
        <v>ORD-01437</v>
      </c>
      <c r="B438" s="10">
        <f>IFERROR(DATEVALUE(messy_sales!B438), "Invalid Date")</f>
        <v>45561</v>
      </c>
      <c r="C438" s="9" t="str">
        <f>TRIM(messy_sales!C438)</f>
        <v>Bengaluru Softworks</v>
      </c>
      <c r="D438" s="9" t="str">
        <f>UPPER(TRIM(messy_sales!D438))</f>
        <v>IN</v>
      </c>
      <c r="E438" s="9" t="str">
        <f>messy_sales!E438</f>
        <v>APAC</v>
      </c>
      <c r="F438" s="9" t="str">
        <f>messy_sales!F438</f>
        <v>Mid-Market</v>
      </c>
      <c r="G438" s="8">
        <f>IF(messy_sales!G438="", "Missing" , messy_sales!G438)</f>
        <v>8015.71</v>
      </c>
    </row>
    <row r="439">
      <c r="A439" s="9" t="str">
        <f>messy_sales!A439</f>
        <v>ORD-01438</v>
      </c>
      <c r="B439" s="10" t="str">
        <f>IFERROR(DATEVALUE(messy_sales!B439), "Invalid Date")</f>
        <v>Invalid Date</v>
      </c>
      <c r="C439" s="9" t="str">
        <f>TRIM(messy_sales!C439)</f>
        <v>Great Barrier Retail</v>
      </c>
      <c r="D439" s="9" t="str">
        <f>UPPER(TRIM(messy_sales!D439))</f>
        <v>AU</v>
      </c>
      <c r="E439" s="9" t="str">
        <f>messy_sales!E439</f>
        <v>APAC</v>
      </c>
      <c r="F439" s="9" t="str">
        <f>messy_sales!F439</f>
        <v>SMB</v>
      </c>
      <c r="G439" s="8">
        <f>IF(messy_sales!G439="", "Missing" , messy_sales!G439)</f>
        <v>592.34</v>
      </c>
    </row>
    <row r="440">
      <c r="A440" s="9" t="str">
        <f>messy_sales!A440</f>
        <v>ORD-01439</v>
      </c>
      <c r="B440" s="10">
        <f>IFERROR(DATEVALUE(messy_sales!B440), "Invalid Date")</f>
        <v>45712</v>
      </c>
      <c r="C440" s="9" t="str">
        <f>TRIM(messy_sales!C440)</f>
        <v>Tailspin Toys</v>
      </c>
      <c r="D440" s="9" t="str">
        <f>UPPER(TRIM(messy_sales!D440))</f>
        <v>CA</v>
      </c>
      <c r="E440" s="9" t="str">
        <f>messy_sales!E440</f>
        <v>North America</v>
      </c>
      <c r="F440" s="9" t="str">
        <f>messy_sales!F440</f>
        <v>SMB</v>
      </c>
      <c r="G440" s="8">
        <f>IF(messy_sales!G440="", "Missing" , messy_sales!G440)</f>
        <v>923.35</v>
      </c>
    </row>
    <row r="441">
      <c r="A441" s="9" t="str">
        <f>messy_sales!A441</f>
        <v>ORD-01440</v>
      </c>
      <c r="B441" s="10">
        <f>IFERROR(DATEVALUE(messy_sales!B441), "Invalid Date")</f>
        <v>45321</v>
      </c>
      <c r="C441" s="9" t="str">
        <f>TRIM(messy_sales!C441)</f>
        <v>Tata Consultancy Retail</v>
      </c>
      <c r="D441" s="9" t="str">
        <f>UPPER(TRIM(messy_sales!D441))</f>
        <v>IN</v>
      </c>
      <c r="E441" s="9" t="str">
        <f>messy_sales!E441</f>
        <v>APAC</v>
      </c>
      <c r="F441" s="9" t="str">
        <f>messy_sales!F441</f>
        <v>Enterprise</v>
      </c>
      <c r="G441" s="8">
        <f>IF(messy_sales!G441="", "Missing" , messy_sales!G441)</f>
        <v>21247.09</v>
      </c>
    </row>
    <row r="442">
      <c r="B442" s="10"/>
      <c r="G442" s="11"/>
    </row>
    <row r="443">
      <c r="B443" s="10"/>
      <c r="G443" s="11"/>
    </row>
    <row r="444">
      <c r="B444" s="10"/>
      <c r="G444" s="11"/>
    </row>
    <row r="445">
      <c r="B445" s="10"/>
      <c r="G445" s="11"/>
    </row>
    <row r="446">
      <c r="B446" s="10"/>
      <c r="G446" s="11"/>
    </row>
    <row r="447">
      <c r="B447" s="10"/>
      <c r="G447" s="11"/>
    </row>
    <row r="448">
      <c r="B448" s="10"/>
      <c r="G448" s="11"/>
    </row>
    <row r="449">
      <c r="B449" s="10"/>
      <c r="G449" s="11"/>
    </row>
    <row r="450">
      <c r="B450" s="10"/>
      <c r="G450" s="11"/>
    </row>
    <row r="451">
      <c r="B451" s="10"/>
      <c r="G451" s="11"/>
    </row>
    <row r="452">
      <c r="B452" s="10"/>
      <c r="G452" s="11"/>
    </row>
    <row r="453">
      <c r="B453" s="10"/>
      <c r="G453" s="11"/>
    </row>
    <row r="454">
      <c r="B454" s="10"/>
      <c r="G454" s="11"/>
    </row>
    <row r="455">
      <c r="B455" s="10"/>
      <c r="G455" s="11"/>
    </row>
    <row r="456">
      <c r="B456" s="10"/>
      <c r="G456" s="11"/>
    </row>
    <row r="457">
      <c r="B457" s="10"/>
      <c r="G457" s="11"/>
    </row>
    <row r="458">
      <c r="B458" s="10"/>
      <c r="G458" s="11"/>
    </row>
    <row r="459">
      <c r="B459" s="10"/>
      <c r="G459" s="11"/>
    </row>
    <row r="460">
      <c r="B460" s="10"/>
      <c r="G460" s="11"/>
    </row>
    <row r="461">
      <c r="B461" s="10"/>
      <c r="G461" s="11"/>
    </row>
    <row r="462">
      <c r="B462" s="10"/>
      <c r="G462" s="11"/>
    </row>
    <row r="463">
      <c r="B463" s="10"/>
      <c r="G463" s="11"/>
    </row>
    <row r="464">
      <c r="B464" s="10"/>
      <c r="G464" s="11"/>
    </row>
    <row r="465">
      <c r="B465" s="10"/>
      <c r="G465" s="11"/>
    </row>
    <row r="466">
      <c r="B466" s="10"/>
      <c r="G466" s="11"/>
    </row>
    <row r="467">
      <c r="B467" s="10"/>
      <c r="G467" s="11"/>
    </row>
    <row r="468">
      <c r="B468" s="10"/>
      <c r="G468" s="11"/>
    </row>
    <row r="469">
      <c r="B469" s="10"/>
      <c r="G469" s="11"/>
    </row>
    <row r="470">
      <c r="B470" s="10"/>
      <c r="G470" s="11"/>
    </row>
    <row r="471">
      <c r="B471" s="10"/>
      <c r="G471" s="11"/>
    </row>
    <row r="472">
      <c r="B472" s="10"/>
      <c r="G472" s="11"/>
    </row>
    <row r="473">
      <c r="B473" s="10"/>
      <c r="G473" s="11"/>
    </row>
    <row r="474">
      <c r="B474" s="10"/>
      <c r="G474" s="11"/>
    </row>
    <row r="475">
      <c r="B475" s="10"/>
      <c r="G475" s="11"/>
    </row>
    <row r="476">
      <c r="B476" s="10"/>
      <c r="G476" s="11"/>
    </row>
    <row r="477">
      <c r="B477" s="10"/>
      <c r="G477" s="11"/>
    </row>
    <row r="478">
      <c r="B478" s="10"/>
      <c r="G478" s="11"/>
    </row>
    <row r="479">
      <c r="B479" s="10"/>
      <c r="G479" s="11"/>
    </row>
    <row r="480">
      <c r="B480" s="10"/>
      <c r="G480" s="11"/>
    </row>
    <row r="481">
      <c r="B481" s="10"/>
      <c r="G481" s="11"/>
    </row>
    <row r="482">
      <c r="B482" s="10"/>
      <c r="G482" s="11"/>
    </row>
    <row r="483">
      <c r="B483" s="10"/>
      <c r="G483" s="11"/>
    </row>
    <row r="484">
      <c r="B484" s="10"/>
      <c r="G484" s="11"/>
    </row>
    <row r="485">
      <c r="B485" s="10"/>
      <c r="G485" s="11"/>
    </row>
    <row r="486">
      <c r="B486" s="10"/>
      <c r="G486" s="11"/>
    </row>
    <row r="487">
      <c r="B487" s="10"/>
      <c r="G487" s="11"/>
    </row>
    <row r="488">
      <c r="B488" s="10"/>
      <c r="G488" s="11"/>
    </row>
    <row r="489">
      <c r="B489" s="10"/>
      <c r="G489" s="11"/>
    </row>
    <row r="490">
      <c r="B490" s="10"/>
      <c r="G490" s="11"/>
    </row>
    <row r="491">
      <c r="B491" s="10"/>
      <c r="G491" s="11"/>
    </row>
    <row r="492">
      <c r="B492" s="10"/>
      <c r="G492" s="11"/>
    </row>
    <row r="493">
      <c r="B493" s="10"/>
      <c r="G493" s="11"/>
    </row>
    <row r="494">
      <c r="B494" s="10"/>
      <c r="G494" s="11"/>
    </row>
    <row r="495">
      <c r="B495" s="10"/>
      <c r="G495" s="11"/>
    </row>
    <row r="496">
      <c r="B496" s="10"/>
      <c r="G496" s="11"/>
    </row>
    <row r="497">
      <c r="B497" s="10"/>
      <c r="G497" s="11"/>
    </row>
    <row r="498">
      <c r="B498" s="10"/>
      <c r="G498" s="11"/>
    </row>
    <row r="499">
      <c r="B499" s="10"/>
      <c r="G499" s="11"/>
    </row>
    <row r="500">
      <c r="B500" s="10"/>
      <c r="G500" s="11"/>
    </row>
    <row r="501">
      <c r="B501" s="10"/>
      <c r="G501" s="11"/>
    </row>
    <row r="502">
      <c r="B502" s="10"/>
      <c r="G502" s="11"/>
    </row>
    <row r="503">
      <c r="B503" s="10"/>
      <c r="G503" s="11"/>
    </row>
    <row r="504">
      <c r="B504" s="10"/>
      <c r="G504" s="11"/>
    </row>
    <row r="505">
      <c r="B505" s="10"/>
      <c r="G505" s="11"/>
    </row>
    <row r="506">
      <c r="B506" s="10"/>
      <c r="G506" s="11"/>
    </row>
    <row r="507">
      <c r="B507" s="10"/>
      <c r="G507" s="11"/>
    </row>
    <row r="508">
      <c r="B508" s="10"/>
      <c r="G508" s="11"/>
    </row>
    <row r="509">
      <c r="B509" s="10"/>
      <c r="G509" s="11"/>
    </row>
    <row r="510">
      <c r="B510" s="10"/>
      <c r="G510" s="11"/>
    </row>
    <row r="511">
      <c r="B511" s="10"/>
      <c r="G511" s="11"/>
    </row>
    <row r="512">
      <c r="B512" s="10"/>
      <c r="G512" s="11"/>
    </row>
    <row r="513">
      <c r="B513" s="10"/>
      <c r="G513" s="11"/>
    </row>
    <row r="514">
      <c r="B514" s="10"/>
      <c r="G514" s="11"/>
    </row>
    <row r="515">
      <c r="B515" s="10"/>
      <c r="G515" s="11"/>
    </row>
    <row r="516">
      <c r="B516" s="10"/>
      <c r="G516" s="11"/>
    </row>
    <row r="517">
      <c r="B517" s="10"/>
      <c r="G517" s="11"/>
    </row>
    <row r="518">
      <c r="B518" s="10"/>
      <c r="G518" s="11"/>
    </row>
    <row r="519">
      <c r="B519" s="10"/>
      <c r="G519" s="11"/>
    </row>
    <row r="520">
      <c r="B520" s="10"/>
      <c r="G520" s="11"/>
    </row>
    <row r="521">
      <c r="B521" s="10"/>
      <c r="G521" s="11"/>
    </row>
    <row r="522">
      <c r="B522" s="10"/>
      <c r="G522" s="11"/>
    </row>
    <row r="523">
      <c r="B523" s="10"/>
      <c r="G523" s="11"/>
    </row>
    <row r="524">
      <c r="B524" s="10"/>
      <c r="G524" s="11"/>
    </row>
    <row r="525">
      <c r="B525" s="10"/>
      <c r="G525" s="11"/>
    </row>
    <row r="526">
      <c r="B526" s="10"/>
      <c r="G526" s="11"/>
    </row>
    <row r="527">
      <c r="B527" s="10"/>
      <c r="G527" s="11"/>
    </row>
    <row r="528">
      <c r="B528" s="10"/>
      <c r="G528" s="11"/>
    </row>
    <row r="529">
      <c r="B529" s="10"/>
      <c r="G529" s="11"/>
    </row>
    <row r="530">
      <c r="B530" s="10"/>
      <c r="G530" s="11"/>
    </row>
    <row r="531">
      <c r="B531" s="10"/>
      <c r="G531" s="11"/>
    </row>
    <row r="532">
      <c r="B532" s="10"/>
      <c r="G532" s="11"/>
    </row>
    <row r="533">
      <c r="B533" s="10"/>
      <c r="G533" s="11"/>
    </row>
    <row r="534">
      <c r="B534" s="10"/>
      <c r="G534" s="11"/>
    </row>
    <row r="535">
      <c r="B535" s="10"/>
      <c r="G535" s="11"/>
    </row>
    <row r="536">
      <c r="B536" s="10"/>
      <c r="G536" s="11"/>
    </row>
    <row r="537">
      <c r="B537" s="10"/>
      <c r="G537" s="11"/>
    </row>
    <row r="538">
      <c r="B538" s="10"/>
      <c r="G538" s="11"/>
    </row>
    <row r="539">
      <c r="B539" s="10"/>
      <c r="G539" s="11"/>
    </row>
    <row r="540">
      <c r="B540" s="10"/>
      <c r="G540" s="11"/>
    </row>
    <row r="541">
      <c r="B541" s="10"/>
      <c r="G541" s="11"/>
    </row>
    <row r="542">
      <c r="B542" s="10"/>
      <c r="G542" s="11"/>
    </row>
    <row r="543">
      <c r="B543" s="10"/>
      <c r="G543" s="11"/>
    </row>
    <row r="544">
      <c r="B544" s="10"/>
      <c r="G544" s="11"/>
    </row>
    <row r="545">
      <c r="B545" s="10"/>
      <c r="G545" s="11"/>
    </row>
    <row r="546">
      <c r="B546" s="10"/>
      <c r="G546" s="11"/>
    </row>
    <row r="547">
      <c r="B547" s="10"/>
      <c r="G547" s="11"/>
    </row>
    <row r="548">
      <c r="B548" s="10"/>
      <c r="G548" s="11"/>
    </row>
    <row r="549">
      <c r="B549" s="10"/>
      <c r="G549" s="11"/>
    </row>
    <row r="550">
      <c r="B550" s="10"/>
      <c r="G550" s="11"/>
    </row>
    <row r="551">
      <c r="B551" s="10"/>
      <c r="G551" s="11"/>
    </row>
    <row r="552">
      <c r="B552" s="10"/>
      <c r="G552" s="11"/>
    </row>
    <row r="553">
      <c r="B553" s="10"/>
      <c r="G553" s="11"/>
    </row>
    <row r="554">
      <c r="B554" s="10"/>
      <c r="G554" s="11"/>
    </row>
    <row r="555">
      <c r="B555" s="10"/>
      <c r="G555" s="11"/>
    </row>
    <row r="556">
      <c r="B556" s="10"/>
      <c r="G556" s="11"/>
    </row>
    <row r="557">
      <c r="B557" s="10"/>
      <c r="G557" s="11"/>
    </row>
    <row r="558">
      <c r="B558" s="10"/>
      <c r="G558" s="11"/>
    </row>
    <row r="559">
      <c r="B559" s="10"/>
      <c r="G559" s="11"/>
    </row>
    <row r="560">
      <c r="B560" s="10"/>
      <c r="G560" s="11"/>
    </row>
    <row r="561">
      <c r="B561" s="10"/>
      <c r="G561" s="11"/>
    </row>
    <row r="562">
      <c r="B562" s="10"/>
      <c r="G562" s="11"/>
    </row>
    <row r="563">
      <c r="B563" s="10"/>
      <c r="G563" s="11"/>
    </row>
    <row r="564">
      <c r="B564" s="10"/>
      <c r="G564" s="11"/>
    </row>
    <row r="565">
      <c r="B565" s="10"/>
      <c r="G565" s="11"/>
    </row>
    <row r="566">
      <c r="B566" s="10"/>
      <c r="G566" s="11"/>
    </row>
    <row r="567">
      <c r="B567" s="10"/>
      <c r="G567" s="11"/>
    </row>
    <row r="568">
      <c r="B568" s="10"/>
      <c r="G568" s="11"/>
    </row>
    <row r="569">
      <c r="B569" s="10"/>
      <c r="G569" s="11"/>
    </row>
    <row r="570">
      <c r="B570" s="10"/>
      <c r="G570" s="11"/>
    </row>
    <row r="571">
      <c r="B571" s="10"/>
      <c r="G571" s="11"/>
    </row>
    <row r="572">
      <c r="B572" s="10"/>
      <c r="G572" s="11"/>
    </row>
    <row r="573">
      <c r="B573" s="10"/>
      <c r="G573" s="11"/>
    </row>
    <row r="574">
      <c r="B574" s="10"/>
      <c r="G574" s="11"/>
    </row>
    <row r="575">
      <c r="B575" s="10"/>
      <c r="G575" s="11"/>
    </row>
    <row r="576">
      <c r="B576" s="10"/>
      <c r="G576" s="11"/>
    </row>
    <row r="577">
      <c r="B577" s="10"/>
      <c r="G577" s="11"/>
    </row>
    <row r="578">
      <c r="B578" s="10"/>
      <c r="G578" s="11"/>
    </row>
    <row r="579">
      <c r="B579" s="10"/>
      <c r="G579" s="11"/>
    </row>
    <row r="580">
      <c r="B580" s="10"/>
      <c r="G580" s="11"/>
    </row>
    <row r="581">
      <c r="B581" s="10"/>
      <c r="G581" s="11"/>
    </row>
    <row r="582">
      <c r="B582" s="10"/>
      <c r="G582" s="11"/>
    </row>
    <row r="583">
      <c r="B583" s="10"/>
      <c r="G583" s="11"/>
    </row>
    <row r="584">
      <c r="B584" s="10"/>
      <c r="G584" s="11"/>
    </row>
    <row r="585">
      <c r="B585" s="10"/>
      <c r="G585" s="11"/>
    </row>
    <row r="586">
      <c r="B586" s="10"/>
      <c r="G586" s="11"/>
    </row>
    <row r="587">
      <c r="B587" s="10"/>
      <c r="G587" s="11"/>
    </row>
    <row r="588">
      <c r="B588" s="10"/>
      <c r="G588" s="11"/>
    </row>
    <row r="589">
      <c r="B589" s="10"/>
      <c r="G589" s="11"/>
    </row>
    <row r="590">
      <c r="B590" s="10"/>
      <c r="G590" s="11"/>
    </row>
    <row r="591">
      <c r="B591" s="10"/>
      <c r="G591" s="11"/>
    </row>
    <row r="592">
      <c r="B592" s="10"/>
      <c r="G592" s="11"/>
    </row>
    <row r="593">
      <c r="B593" s="10"/>
      <c r="G593" s="11"/>
    </row>
    <row r="594">
      <c r="B594" s="10"/>
      <c r="G594" s="11"/>
    </row>
    <row r="595">
      <c r="B595" s="10"/>
      <c r="G595" s="11"/>
    </row>
    <row r="596">
      <c r="B596" s="10"/>
      <c r="G596" s="11"/>
    </row>
    <row r="597">
      <c r="B597" s="10"/>
      <c r="G597" s="11"/>
    </row>
    <row r="598">
      <c r="B598" s="10"/>
      <c r="G598" s="11"/>
    </row>
    <row r="599">
      <c r="B599" s="10"/>
      <c r="G599" s="11"/>
    </row>
    <row r="600">
      <c r="B600" s="10"/>
      <c r="G600" s="11"/>
    </row>
    <row r="601">
      <c r="B601" s="10"/>
      <c r="G601" s="11"/>
    </row>
    <row r="602">
      <c r="B602" s="10"/>
      <c r="G602" s="11"/>
    </row>
    <row r="603">
      <c r="B603" s="10"/>
      <c r="G603" s="11"/>
    </row>
    <row r="604">
      <c r="B604" s="10"/>
      <c r="G604" s="11"/>
    </row>
    <row r="605">
      <c r="B605" s="10"/>
      <c r="G605" s="11"/>
    </row>
    <row r="606">
      <c r="B606" s="10"/>
      <c r="G606" s="11"/>
    </row>
    <row r="607">
      <c r="B607" s="10"/>
      <c r="G607" s="11"/>
    </row>
    <row r="608">
      <c r="B608" s="10"/>
      <c r="G608" s="11"/>
    </row>
    <row r="609">
      <c r="B609" s="10"/>
      <c r="G609" s="11"/>
    </row>
    <row r="610">
      <c r="B610" s="10"/>
      <c r="G610" s="11"/>
    </row>
    <row r="611">
      <c r="B611" s="10"/>
      <c r="G611" s="11"/>
    </row>
    <row r="612">
      <c r="B612" s="10"/>
      <c r="G612" s="11"/>
    </row>
    <row r="613">
      <c r="B613" s="10"/>
      <c r="G613" s="11"/>
    </row>
    <row r="614">
      <c r="B614" s="10"/>
      <c r="G614" s="11"/>
    </row>
    <row r="615">
      <c r="B615" s="10"/>
      <c r="G615" s="11"/>
    </row>
    <row r="616">
      <c r="B616" s="10"/>
      <c r="G616" s="11"/>
    </row>
    <row r="617">
      <c r="B617" s="10"/>
      <c r="G617" s="11"/>
    </row>
    <row r="618">
      <c r="B618" s="10"/>
      <c r="G618" s="11"/>
    </row>
    <row r="619">
      <c r="B619" s="10"/>
      <c r="G619" s="11"/>
    </row>
    <row r="620">
      <c r="B620" s="10"/>
      <c r="G620" s="11"/>
    </row>
    <row r="621">
      <c r="B621" s="10"/>
      <c r="G621" s="11"/>
    </row>
    <row r="622">
      <c r="B622" s="10"/>
      <c r="G622" s="11"/>
    </row>
    <row r="623">
      <c r="B623" s="10"/>
      <c r="G623" s="11"/>
    </row>
    <row r="624">
      <c r="B624" s="10"/>
      <c r="G624" s="11"/>
    </row>
    <row r="625">
      <c r="B625" s="10"/>
      <c r="G625" s="11"/>
    </row>
    <row r="626">
      <c r="B626" s="10"/>
      <c r="G626" s="11"/>
    </row>
    <row r="627">
      <c r="B627" s="10"/>
      <c r="G627" s="11"/>
    </row>
    <row r="628">
      <c r="B628" s="10"/>
      <c r="G628" s="11"/>
    </row>
    <row r="629">
      <c r="B629" s="10"/>
      <c r="G629" s="11"/>
    </row>
    <row r="630">
      <c r="B630" s="10"/>
      <c r="G630" s="11"/>
    </row>
    <row r="631">
      <c r="B631" s="10"/>
      <c r="G631" s="11"/>
    </row>
    <row r="632">
      <c r="B632" s="10"/>
      <c r="G632" s="11"/>
    </row>
    <row r="633">
      <c r="B633" s="10"/>
      <c r="G633" s="11"/>
    </row>
    <row r="634">
      <c r="B634" s="10"/>
      <c r="G634" s="11"/>
    </row>
    <row r="635">
      <c r="B635" s="10"/>
      <c r="G635" s="11"/>
    </row>
    <row r="636">
      <c r="B636" s="10"/>
      <c r="G636" s="11"/>
    </row>
    <row r="637">
      <c r="B637" s="10"/>
      <c r="G637" s="11"/>
    </row>
    <row r="638">
      <c r="B638" s="10"/>
      <c r="G638" s="11"/>
    </row>
    <row r="639">
      <c r="B639" s="10"/>
      <c r="G639" s="11"/>
    </row>
    <row r="640">
      <c r="B640" s="10"/>
      <c r="G640" s="11"/>
    </row>
    <row r="641">
      <c r="B641" s="10"/>
      <c r="G641" s="11"/>
    </row>
    <row r="642">
      <c r="B642" s="10"/>
      <c r="G642" s="11"/>
    </row>
    <row r="643">
      <c r="B643" s="10"/>
      <c r="G643" s="11"/>
    </row>
    <row r="644">
      <c r="B644" s="10"/>
      <c r="G644" s="11"/>
    </row>
    <row r="645">
      <c r="B645" s="10"/>
      <c r="G645" s="11"/>
    </row>
    <row r="646">
      <c r="B646" s="10"/>
      <c r="G646" s="11"/>
    </row>
    <row r="647">
      <c r="B647" s="10"/>
      <c r="G647" s="11"/>
    </row>
    <row r="648">
      <c r="B648" s="10"/>
      <c r="G648" s="11"/>
    </row>
    <row r="649">
      <c r="B649" s="10"/>
      <c r="G649" s="11"/>
    </row>
    <row r="650">
      <c r="B650" s="10"/>
      <c r="G650" s="11"/>
    </row>
    <row r="651">
      <c r="B651" s="10"/>
      <c r="G651" s="11"/>
    </row>
    <row r="652">
      <c r="B652" s="10"/>
      <c r="G652" s="11"/>
    </row>
    <row r="653">
      <c r="B653" s="10"/>
      <c r="G653" s="11"/>
    </row>
    <row r="654">
      <c r="B654" s="10"/>
      <c r="G654" s="11"/>
    </row>
    <row r="655">
      <c r="B655" s="10"/>
      <c r="G655" s="11"/>
    </row>
    <row r="656">
      <c r="B656" s="10"/>
      <c r="G656" s="11"/>
    </row>
    <row r="657">
      <c r="B657" s="10"/>
      <c r="G657" s="11"/>
    </row>
    <row r="658">
      <c r="B658" s="10"/>
      <c r="G658" s="11"/>
    </row>
    <row r="659">
      <c r="B659" s="10"/>
      <c r="G659" s="11"/>
    </row>
    <row r="660">
      <c r="B660" s="10"/>
      <c r="G660" s="11"/>
    </row>
    <row r="661">
      <c r="B661" s="10"/>
      <c r="G661" s="11"/>
    </row>
    <row r="662">
      <c r="B662" s="10"/>
      <c r="G662" s="11"/>
    </row>
    <row r="663">
      <c r="B663" s="10"/>
      <c r="G663" s="11"/>
    </row>
    <row r="664">
      <c r="B664" s="10"/>
      <c r="G664" s="11"/>
    </row>
    <row r="665">
      <c r="B665" s="10"/>
      <c r="G665" s="11"/>
    </row>
    <row r="666">
      <c r="B666" s="10"/>
      <c r="G666" s="11"/>
    </row>
    <row r="667">
      <c r="B667" s="10"/>
      <c r="G667" s="11"/>
    </row>
    <row r="668">
      <c r="B668" s="10"/>
      <c r="G668" s="11"/>
    </row>
    <row r="669">
      <c r="B669" s="10"/>
      <c r="G669" s="11"/>
    </row>
    <row r="670">
      <c r="B670" s="10"/>
      <c r="G670" s="11"/>
    </row>
    <row r="671">
      <c r="B671" s="10"/>
      <c r="G671" s="11"/>
    </row>
    <row r="672">
      <c r="B672" s="10"/>
      <c r="G672" s="11"/>
    </row>
    <row r="673">
      <c r="B673" s="10"/>
      <c r="G673" s="11"/>
    </row>
    <row r="674">
      <c r="B674" s="10"/>
      <c r="G674" s="11"/>
    </row>
    <row r="675">
      <c r="B675" s="10"/>
      <c r="G675" s="11"/>
    </row>
    <row r="676">
      <c r="B676" s="10"/>
      <c r="G676" s="11"/>
    </row>
    <row r="677">
      <c r="B677" s="10"/>
      <c r="G677" s="11"/>
    </row>
    <row r="678">
      <c r="B678" s="10"/>
      <c r="G678" s="11"/>
    </row>
    <row r="679">
      <c r="B679" s="10"/>
      <c r="G679" s="11"/>
    </row>
    <row r="680">
      <c r="B680" s="10"/>
      <c r="G680" s="11"/>
    </row>
    <row r="681">
      <c r="B681" s="10"/>
      <c r="G681" s="11"/>
    </row>
    <row r="682">
      <c r="B682" s="10"/>
      <c r="G682" s="11"/>
    </row>
    <row r="683">
      <c r="B683" s="10"/>
      <c r="G683" s="11"/>
    </row>
    <row r="684">
      <c r="B684" s="10"/>
      <c r="G684" s="11"/>
    </row>
    <row r="685">
      <c r="B685" s="10"/>
      <c r="G685" s="11"/>
    </row>
    <row r="686">
      <c r="B686" s="10"/>
      <c r="G686" s="11"/>
    </row>
    <row r="687">
      <c r="B687" s="10"/>
      <c r="G687" s="11"/>
    </row>
    <row r="688">
      <c r="B688" s="10"/>
      <c r="G688" s="11"/>
    </row>
    <row r="689">
      <c r="B689" s="10"/>
      <c r="G689" s="11"/>
    </row>
    <row r="690">
      <c r="B690" s="10"/>
      <c r="G690" s="11"/>
    </row>
    <row r="691">
      <c r="B691" s="10"/>
      <c r="G691" s="11"/>
    </row>
    <row r="692">
      <c r="B692" s="10"/>
      <c r="G692" s="11"/>
    </row>
    <row r="693">
      <c r="B693" s="10"/>
      <c r="G693" s="11"/>
    </row>
    <row r="694">
      <c r="B694" s="10"/>
      <c r="G694" s="11"/>
    </row>
    <row r="695">
      <c r="B695" s="10"/>
      <c r="G695" s="11"/>
    </row>
    <row r="696">
      <c r="B696" s="10"/>
      <c r="G696" s="11"/>
    </row>
    <row r="697">
      <c r="B697" s="10"/>
      <c r="G697" s="11"/>
    </row>
    <row r="698">
      <c r="B698" s="10"/>
      <c r="G698" s="11"/>
    </row>
    <row r="699">
      <c r="B699" s="10"/>
      <c r="G699" s="11"/>
    </row>
    <row r="700">
      <c r="B700" s="10"/>
      <c r="G700" s="11"/>
    </row>
    <row r="701">
      <c r="B701" s="10"/>
      <c r="G701" s="11"/>
    </row>
    <row r="702">
      <c r="B702" s="10"/>
      <c r="G702" s="11"/>
    </row>
    <row r="703">
      <c r="B703" s="10"/>
      <c r="G703" s="11"/>
    </row>
    <row r="704">
      <c r="B704" s="10"/>
      <c r="G704" s="11"/>
    </row>
    <row r="705">
      <c r="B705" s="10"/>
      <c r="G705" s="11"/>
    </row>
    <row r="706">
      <c r="B706" s="10"/>
      <c r="G706" s="11"/>
    </row>
    <row r="707">
      <c r="B707" s="10"/>
      <c r="G707" s="11"/>
    </row>
    <row r="708">
      <c r="B708" s="10"/>
      <c r="G708" s="11"/>
    </row>
    <row r="709">
      <c r="B709" s="10"/>
      <c r="G709" s="11"/>
    </row>
    <row r="710">
      <c r="B710" s="10"/>
      <c r="G710" s="11"/>
    </row>
    <row r="711">
      <c r="B711" s="10"/>
      <c r="G711" s="11"/>
    </row>
    <row r="712">
      <c r="B712" s="10"/>
      <c r="G712" s="11"/>
    </row>
    <row r="713">
      <c r="B713" s="10"/>
      <c r="G713" s="11"/>
    </row>
    <row r="714">
      <c r="B714" s="10"/>
      <c r="G714" s="11"/>
    </row>
    <row r="715">
      <c r="B715" s="10"/>
      <c r="G715" s="11"/>
    </row>
    <row r="716">
      <c r="B716" s="10"/>
      <c r="G716" s="11"/>
    </row>
    <row r="717">
      <c r="B717" s="10"/>
      <c r="G717" s="11"/>
    </row>
    <row r="718">
      <c r="B718" s="10"/>
      <c r="G718" s="11"/>
    </row>
    <row r="719">
      <c r="B719" s="10"/>
      <c r="G719" s="11"/>
    </row>
    <row r="720">
      <c r="B720" s="10"/>
      <c r="G720" s="11"/>
    </row>
    <row r="721">
      <c r="B721" s="10"/>
      <c r="G721" s="11"/>
    </row>
    <row r="722">
      <c r="B722" s="10"/>
      <c r="G722" s="11"/>
    </row>
    <row r="723">
      <c r="B723" s="10"/>
      <c r="G723" s="11"/>
    </row>
    <row r="724">
      <c r="B724" s="10"/>
      <c r="G724" s="11"/>
    </row>
    <row r="725">
      <c r="B725" s="10"/>
      <c r="G725" s="11"/>
    </row>
    <row r="726">
      <c r="B726" s="10"/>
      <c r="G726" s="11"/>
    </row>
    <row r="727">
      <c r="B727" s="10"/>
      <c r="G727" s="11"/>
    </row>
    <row r="728">
      <c r="B728" s="10"/>
      <c r="G728" s="11"/>
    </row>
    <row r="729">
      <c r="B729" s="10"/>
      <c r="G729" s="11"/>
    </row>
    <row r="730">
      <c r="B730" s="10"/>
      <c r="G730" s="11"/>
    </row>
    <row r="731">
      <c r="B731" s="10"/>
      <c r="G731" s="11"/>
    </row>
    <row r="732">
      <c r="B732" s="10"/>
      <c r="G732" s="11"/>
    </row>
    <row r="733">
      <c r="B733" s="10"/>
      <c r="G733" s="11"/>
    </row>
    <row r="734">
      <c r="B734" s="10"/>
      <c r="G734" s="11"/>
    </row>
    <row r="735">
      <c r="B735" s="10"/>
      <c r="G735" s="11"/>
    </row>
    <row r="736">
      <c r="B736" s="10"/>
      <c r="G736" s="11"/>
    </row>
    <row r="737">
      <c r="B737" s="10"/>
      <c r="G737" s="11"/>
    </row>
    <row r="738">
      <c r="B738" s="10"/>
      <c r="G738" s="11"/>
    </row>
    <row r="739">
      <c r="B739" s="10"/>
      <c r="G739" s="11"/>
    </row>
    <row r="740">
      <c r="B740" s="10"/>
      <c r="G740" s="11"/>
    </row>
    <row r="741">
      <c r="B741" s="10"/>
      <c r="G741" s="11"/>
    </row>
    <row r="742">
      <c r="B742" s="10"/>
      <c r="G742" s="11"/>
    </row>
    <row r="743">
      <c r="B743" s="10"/>
      <c r="G743" s="11"/>
    </row>
    <row r="744">
      <c r="B744" s="10"/>
      <c r="G744" s="11"/>
    </row>
    <row r="745">
      <c r="B745" s="10"/>
      <c r="G745" s="11"/>
    </row>
    <row r="746">
      <c r="B746" s="10"/>
      <c r="G746" s="11"/>
    </row>
    <row r="747">
      <c r="B747" s="10"/>
      <c r="G747" s="11"/>
    </row>
    <row r="748">
      <c r="B748" s="10"/>
      <c r="G748" s="11"/>
    </row>
    <row r="749">
      <c r="B749" s="10"/>
      <c r="G749" s="11"/>
    </row>
    <row r="750">
      <c r="B750" s="10"/>
      <c r="G750" s="11"/>
    </row>
    <row r="751">
      <c r="B751" s="10"/>
      <c r="G751" s="11"/>
    </row>
    <row r="752">
      <c r="B752" s="10"/>
      <c r="G752" s="11"/>
    </row>
    <row r="753">
      <c r="B753" s="10"/>
      <c r="G753" s="11"/>
    </row>
    <row r="754">
      <c r="B754" s="10"/>
      <c r="G754" s="11"/>
    </row>
    <row r="755">
      <c r="B755" s="10"/>
      <c r="G755" s="11"/>
    </row>
    <row r="756">
      <c r="B756" s="10"/>
      <c r="G756" s="11"/>
    </row>
    <row r="757">
      <c r="B757" s="10"/>
      <c r="G757" s="11"/>
    </row>
    <row r="758">
      <c r="B758" s="10"/>
      <c r="G758" s="11"/>
    </row>
    <row r="759">
      <c r="B759" s="10"/>
      <c r="G759" s="11"/>
    </row>
    <row r="760">
      <c r="B760" s="10"/>
      <c r="G760" s="11"/>
    </row>
    <row r="761">
      <c r="B761" s="10"/>
      <c r="G761" s="11"/>
    </row>
    <row r="762">
      <c r="B762" s="10"/>
      <c r="G762" s="11"/>
    </row>
    <row r="763">
      <c r="B763" s="10"/>
      <c r="G763" s="11"/>
    </row>
    <row r="764">
      <c r="B764" s="10"/>
      <c r="G764" s="11"/>
    </row>
    <row r="765">
      <c r="B765" s="10"/>
      <c r="G765" s="11"/>
    </row>
    <row r="766">
      <c r="B766" s="10"/>
      <c r="G766" s="11"/>
    </row>
    <row r="767">
      <c r="B767" s="10"/>
      <c r="G767" s="11"/>
    </row>
    <row r="768">
      <c r="B768" s="10"/>
      <c r="G768" s="11"/>
    </row>
    <row r="769">
      <c r="B769" s="10"/>
      <c r="G769" s="11"/>
    </row>
    <row r="770">
      <c r="B770" s="10"/>
      <c r="G770" s="11"/>
    </row>
    <row r="771">
      <c r="B771" s="10"/>
      <c r="G771" s="11"/>
    </row>
    <row r="772">
      <c r="B772" s="10"/>
      <c r="G772" s="11"/>
    </row>
    <row r="773">
      <c r="B773" s="10"/>
      <c r="G773" s="11"/>
    </row>
    <row r="774">
      <c r="B774" s="10"/>
      <c r="G774" s="11"/>
    </row>
    <row r="775">
      <c r="B775" s="10"/>
      <c r="G775" s="11"/>
    </row>
    <row r="776">
      <c r="B776" s="10"/>
      <c r="G776" s="11"/>
    </row>
    <row r="777">
      <c r="B777" s="10"/>
      <c r="G777" s="11"/>
    </row>
    <row r="778">
      <c r="B778" s="10"/>
      <c r="G778" s="11"/>
    </row>
    <row r="779">
      <c r="B779" s="10"/>
      <c r="G779" s="11"/>
    </row>
    <row r="780">
      <c r="B780" s="10"/>
      <c r="G780" s="11"/>
    </row>
    <row r="781">
      <c r="B781" s="10"/>
      <c r="G781" s="11"/>
    </row>
    <row r="782">
      <c r="B782" s="10"/>
      <c r="G782" s="11"/>
    </row>
    <row r="783">
      <c r="B783" s="10"/>
      <c r="G783" s="11"/>
    </row>
    <row r="784">
      <c r="B784" s="10"/>
      <c r="G784" s="11"/>
    </row>
    <row r="785">
      <c r="B785" s="10"/>
      <c r="G785" s="11"/>
    </row>
    <row r="786">
      <c r="B786" s="10"/>
      <c r="G786" s="11"/>
    </row>
    <row r="787">
      <c r="B787" s="10"/>
      <c r="G787" s="11"/>
    </row>
    <row r="788">
      <c r="B788" s="10"/>
      <c r="G788" s="11"/>
    </row>
    <row r="789">
      <c r="B789" s="10"/>
      <c r="G789" s="11"/>
    </row>
    <row r="790">
      <c r="B790" s="10"/>
      <c r="G790" s="11"/>
    </row>
    <row r="791">
      <c r="B791" s="10"/>
      <c r="G791" s="11"/>
    </row>
    <row r="792">
      <c r="B792" s="10"/>
      <c r="G792" s="11"/>
    </row>
    <row r="793">
      <c r="B793" s="10"/>
      <c r="G793" s="11"/>
    </row>
    <row r="794">
      <c r="B794" s="10"/>
      <c r="G794" s="11"/>
    </row>
    <row r="795">
      <c r="B795" s="10"/>
      <c r="G795" s="11"/>
    </row>
    <row r="796">
      <c r="B796" s="10"/>
      <c r="G796" s="11"/>
    </row>
    <row r="797">
      <c r="B797" s="10"/>
      <c r="G797" s="11"/>
    </row>
    <row r="798">
      <c r="B798" s="10"/>
      <c r="G798" s="11"/>
    </row>
    <row r="799">
      <c r="B799" s="10"/>
      <c r="G799" s="11"/>
    </row>
    <row r="800">
      <c r="B800" s="10"/>
      <c r="G800" s="11"/>
    </row>
    <row r="801">
      <c r="B801" s="10"/>
      <c r="G801" s="11"/>
    </row>
    <row r="802">
      <c r="B802" s="10"/>
      <c r="G802" s="11"/>
    </row>
    <row r="803">
      <c r="B803" s="10"/>
      <c r="G803" s="11"/>
    </row>
    <row r="804">
      <c r="B804" s="10"/>
      <c r="G804" s="11"/>
    </row>
    <row r="805">
      <c r="B805" s="10"/>
      <c r="G805" s="11"/>
    </row>
    <row r="806">
      <c r="B806" s="10"/>
      <c r="G806" s="11"/>
    </row>
    <row r="807">
      <c r="B807" s="10"/>
      <c r="G807" s="11"/>
    </row>
    <row r="808">
      <c r="B808" s="10"/>
      <c r="G808" s="11"/>
    </row>
    <row r="809">
      <c r="B809" s="10"/>
      <c r="G809" s="11"/>
    </row>
    <row r="810">
      <c r="B810" s="10"/>
      <c r="G810" s="11"/>
    </row>
    <row r="811">
      <c r="B811" s="10"/>
      <c r="G811" s="11"/>
    </row>
    <row r="812">
      <c r="B812" s="10"/>
      <c r="G812" s="11"/>
    </row>
    <row r="813">
      <c r="B813" s="10"/>
      <c r="G813" s="11"/>
    </row>
    <row r="814">
      <c r="B814" s="10"/>
      <c r="G814" s="11"/>
    </row>
    <row r="815">
      <c r="B815" s="10"/>
      <c r="G815" s="11"/>
    </row>
    <row r="816">
      <c r="B816" s="10"/>
      <c r="G816" s="11"/>
    </row>
    <row r="817">
      <c r="B817" s="10"/>
      <c r="G817" s="11"/>
    </row>
    <row r="818">
      <c r="B818" s="10"/>
      <c r="G818" s="11"/>
    </row>
    <row r="819">
      <c r="B819" s="10"/>
      <c r="G819" s="11"/>
    </row>
    <row r="820">
      <c r="B820" s="10"/>
      <c r="G820" s="11"/>
    </row>
    <row r="821">
      <c r="B821" s="10"/>
      <c r="G821" s="11"/>
    </row>
    <row r="822">
      <c r="B822" s="10"/>
      <c r="G822" s="11"/>
    </row>
    <row r="823">
      <c r="B823" s="10"/>
      <c r="G823" s="11"/>
    </row>
    <row r="824">
      <c r="B824" s="10"/>
      <c r="G824" s="11"/>
    </row>
    <row r="825">
      <c r="B825" s="10"/>
      <c r="G825" s="11"/>
    </row>
    <row r="826">
      <c r="B826" s="10"/>
      <c r="G826" s="11"/>
    </row>
    <row r="827">
      <c r="B827" s="10"/>
      <c r="G827" s="11"/>
    </row>
    <row r="828">
      <c r="B828" s="10"/>
      <c r="G828" s="11"/>
    </row>
    <row r="829">
      <c r="B829" s="10"/>
      <c r="G829" s="11"/>
    </row>
    <row r="830">
      <c r="B830" s="10"/>
      <c r="G830" s="11"/>
    </row>
    <row r="831">
      <c r="B831" s="10"/>
      <c r="G831" s="11"/>
    </row>
    <row r="832">
      <c r="B832" s="10"/>
      <c r="G832" s="11"/>
    </row>
    <row r="833">
      <c r="B833" s="10"/>
      <c r="G833" s="11"/>
    </row>
    <row r="834">
      <c r="B834" s="10"/>
      <c r="G834" s="11"/>
    </row>
    <row r="835">
      <c r="B835" s="10"/>
      <c r="G835" s="11"/>
    </row>
    <row r="836">
      <c r="B836" s="10"/>
      <c r="G836" s="11"/>
    </row>
    <row r="837">
      <c r="B837" s="10"/>
      <c r="G837" s="11"/>
    </row>
    <row r="838">
      <c r="B838" s="10"/>
      <c r="G838" s="11"/>
    </row>
    <row r="839">
      <c r="B839" s="10"/>
      <c r="G839" s="11"/>
    </row>
    <row r="840">
      <c r="B840" s="10"/>
      <c r="G840" s="11"/>
    </row>
    <row r="841">
      <c r="B841" s="10"/>
      <c r="G841" s="11"/>
    </row>
    <row r="842">
      <c r="B842" s="10"/>
      <c r="G842" s="11"/>
    </row>
    <row r="843">
      <c r="B843" s="10"/>
      <c r="G843" s="11"/>
    </row>
    <row r="844">
      <c r="B844" s="10"/>
      <c r="G844" s="11"/>
    </row>
    <row r="845">
      <c r="B845" s="10"/>
      <c r="G845" s="11"/>
    </row>
    <row r="846">
      <c r="B846" s="10"/>
      <c r="G846" s="11"/>
    </row>
    <row r="847">
      <c r="B847" s="10"/>
      <c r="G847" s="11"/>
    </row>
    <row r="848">
      <c r="B848" s="10"/>
      <c r="G848" s="11"/>
    </row>
    <row r="849">
      <c r="B849" s="10"/>
      <c r="G849" s="11"/>
    </row>
    <row r="850">
      <c r="B850" s="10"/>
      <c r="G850" s="11"/>
    </row>
    <row r="851">
      <c r="B851" s="10"/>
      <c r="G851" s="11"/>
    </row>
    <row r="852">
      <c r="B852" s="10"/>
      <c r="G852" s="11"/>
    </row>
    <row r="853">
      <c r="B853" s="10"/>
      <c r="G853" s="11"/>
    </row>
    <row r="854">
      <c r="B854" s="10"/>
      <c r="G854" s="11"/>
    </row>
    <row r="855">
      <c r="B855" s="10"/>
      <c r="G855" s="11"/>
    </row>
    <row r="856">
      <c r="B856" s="10"/>
      <c r="G856" s="11"/>
    </row>
    <row r="857">
      <c r="B857" s="10"/>
      <c r="G857" s="11"/>
    </row>
    <row r="858">
      <c r="B858" s="10"/>
      <c r="G858" s="11"/>
    </row>
    <row r="859">
      <c r="B859" s="10"/>
      <c r="G859" s="11"/>
    </row>
    <row r="860">
      <c r="B860" s="10"/>
      <c r="G860" s="11"/>
    </row>
    <row r="861">
      <c r="B861" s="10"/>
      <c r="G861" s="11"/>
    </row>
    <row r="862">
      <c r="B862" s="10"/>
      <c r="G862" s="11"/>
    </row>
    <row r="863">
      <c r="B863" s="10"/>
      <c r="G863" s="11"/>
    </row>
    <row r="864">
      <c r="B864" s="10"/>
      <c r="G864" s="11"/>
    </row>
    <row r="865">
      <c r="B865" s="10"/>
      <c r="G865" s="11"/>
    </row>
    <row r="866">
      <c r="B866" s="10"/>
      <c r="G866" s="11"/>
    </row>
    <row r="867">
      <c r="B867" s="10"/>
      <c r="G867" s="11"/>
    </row>
    <row r="868">
      <c r="B868" s="10"/>
      <c r="G868" s="11"/>
    </row>
    <row r="869">
      <c r="B869" s="10"/>
      <c r="G869" s="11"/>
    </row>
    <row r="870">
      <c r="B870" s="10"/>
      <c r="G870" s="11"/>
    </row>
    <row r="871">
      <c r="B871" s="10"/>
      <c r="G871" s="11"/>
    </row>
    <row r="872">
      <c r="B872" s="10"/>
      <c r="G872" s="11"/>
    </row>
    <row r="873">
      <c r="B873" s="10"/>
      <c r="G873" s="11"/>
    </row>
    <row r="874">
      <c r="B874" s="10"/>
      <c r="G874" s="11"/>
    </row>
    <row r="875">
      <c r="B875" s="10"/>
      <c r="G875" s="11"/>
    </row>
    <row r="876">
      <c r="B876" s="10"/>
      <c r="G876" s="11"/>
    </row>
    <row r="877">
      <c r="B877" s="10"/>
      <c r="G877" s="11"/>
    </row>
    <row r="878">
      <c r="B878" s="10"/>
      <c r="G878" s="11"/>
    </row>
    <row r="879">
      <c r="B879" s="10"/>
      <c r="G879" s="11"/>
    </row>
    <row r="880">
      <c r="B880" s="10"/>
      <c r="G880" s="11"/>
    </row>
    <row r="881">
      <c r="B881" s="10"/>
      <c r="G881" s="11"/>
    </row>
    <row r="882">
      <c r="B882" s="10"/>
      <c r="G882" s="11"/>
    </row>
    <row r="883">
      <c r="B883" s="10"/>
      <c r="G883" s="11"/>
    </row>
    <row r="884">
      <c r="B884" s="10"/>
      <c r="G884" s="11"/>
    </row>
    <row r="885">
      <c r="B885" s="10"/>
      <c r="G885" s="11"/>
    </row>
    <row r="886">
      <c r="B886" s="10"/>
      <c r="G886" s="11"/>
    </row>
    <row r="887">
      <c r="B887" s="10"/>
      <c r="G887" s="11"/>
    </row>
    <row r="888">
      <c r="B888" s="10"/>
      <c r="G888" s="11"/>
    </row>
    <row r="889">
      <c r="B889" s="10"/>
      <c r="G889" s="11"/>
    </row>
    <row r="890">
      <c r="B890" s="10"/>
      <c r="G890" s="11"/>
    </row>
    <row r="891">
      <c r="B891" s="10"/>
      <c r="G891" s="11"/>
    </row>
    <row r="892">
      <c r="B892" s="10"/>
      <c r="G892" s="11"/>
    </row>
    <row r="893">
      <c r="B893" s="10"/>
      <c r="G893" s="11"/>
    </row>
    <row r="894">
      <c r="B894" s="10"/>
      <c r="G894" s="11"/>
    </row>
    <row r="895">
      <c r="B895" s="10"/>
      <c r="G895" s="11"/>
    </row>
    <row r="896">
      <c r="B896" s="10"/>
      <c r="G896" s="11"/>
    </row>
    <row r="897">
      <c r="B897" s="10"/>
      <c r="G897" s="11"/>
    </row>
    <row r="898">
      <c r="B898" s="10"/>
      <c r="G898" s="11"/>
    </row>
    <row r="899">
      <c r="B899" s="10"/>
      <c r="G899" s="11"/>
    </row>
    <row r="900">
      <c r="B900" s="10"/>
      <c r="G900" s="11"/>
    </row>
    <row r="901">
      <c r="B901" s="10"/>
      <c r="G901" s="11"/>
    </row>
    <row r="902">
      <c r="B902" s="10"/>
      <c r="G902" s="11"/>
    </row>
    <row r="903">
      <c r="B903" s="10"/>
      <c r="G903" s="11"/>
    </row>
    <row r="904">
      <c r="B904" s="10"/>
      <c r="G904" s="11"/>
    </row>
    <row r="905">
      <c r="B905" s="10"/>
      <c r="G905" s="11"/>
    </row>
    <row r="906">
      <c r="B906" s="10"/>
      <c r="G906" s="11"/>
    </row>
    <row r="907">
      <c r="B907" s="10"/>
      <c r="G907" s="11"/>
    </row>
    <row r="908">
      <c r="B908" s="10"/>
      <c r="G908" s="11"/>
    </row>
    <row r="909">
      <c r="B909" s="10"/>
      <c r="G909" s="11"/>
    </row>
    <row r="910">
      <c r="B910" s="10"/>
      <c r="G910" s="11"/>
    </row>
    <row r="911">
      <c r="B911" s="10"/>
      <c r="G911" s="11"/>
    </row>
    <row r="912">
      <c r="B912" s="10"/>
      <c r="G912" s="11"/>
    </row>
    <row r="913">
      <c r="B913" s="10"/>
      <c r="G913" s="11"/>
    </row>
    <row r="914">
      <c r="B914" s="10"/>
      <c r="G914" s="11"/>
    </row>
    <row r="915">
      <c r="B915" s="10"/>
      <c r="G915" s="11"/>
    </row>
    <row r="916">
      <c r="B916" s="10"/>
      <c r="G916" s="11"/>
    </row>
    <row r="917">
      <c r="B917" s="10"/>
      <c r="G917" s="11"/>
    </row>
    <row r="918">
      <c r="B918" s="10"/>
      <c r="G918" s="11"/>
    </row>
    <row r="919">
      <c r="B919" s="10"/>
      <c r="G919" s="11"/>
    </row>
    <row r="920">
      <c r="B920" s="10"/>
      <c r="G920" s="11"/>
    </row>
    <row r="921">
      <c r="B921" s="10"/>
      <c r="G921" s="11"/>
    </row>
    <row r="922">
      <c r="B922" s="10"/>
      <c r="G922" s="11"/>
    </row>
    <row r="923">
      <c r="B923" s="10"/>
      <c r="G923" s="11"/>
    </row>
    <row r="924">
      <c r="B924" s="10"/>
      <c r="G924" s="11"/>
    </row>
    <row r="925">
      <c r="B925" s="10"/>
      <c r="G925" s="11"/>
    </row>
    <row r="926">
      <c r="B926" s="10"/>
      <c r="G926" s="11"/>
    </row>
    <row r="927">
      <c r="B927" s="10"/>
      <c r="G927" s="11"/>
    </row>
    <row r="928">
      <c r="B928" s="10"/>
      <c r="G928" s="11"/>
    </row>
    <row r="929">
      <c r="B929" s="10"/>
      <c r="G929" s="11"/>
    </row>
    <row r="930">
      <c r="B930" s="10"/>
      <c r="G930" s="11"/>
    </row>
    <row r="931">
      <c r="B931" s="10"/>
      <c r="G931" s="11"/>
    </row>
    <row r="932">
      <c r="B932" s="10"/>
      <c r="G932" s="11"/>
    </row>
    <row r="933">
      <c r="B933" s="10"/>
      <c r="G933" s="11"/>
    </row>
    <row r="934">
      <c r="B934" s="10"/>
      <c r="G934" s="11"/>
    </row>
    <row r="935">
      <c r="B935" s="10"/>
      <c r="G935" s="11"/>
    </row>
    <row r="936">
      <c r="B936" s="10"/>
      <c r="G936" s="11"/>
    </row>
    <row r="937">
      <c r="B937" s="10"/>
      <c r="G937" s="11"/>
    </row>
    <row r="938">
      <c r="B938" s="10"/>
      <c r="G938" s="11"/>
    </row>
    <row r="939">
      <c r="B939" s="10"/>
      <c r="G939" s="11"/>
    </row>
    <row r="940">
      <c r="B940" s="10"/>
      <c r="G940" s="11"/>
    </row>
    <row r="941">
      <c r="B941" s="10"/>
      <c r="G941" s="11"/>
    </row>
    <row r="942">
      <c r="B942" s="10"/>
      <c r="G942" s="11"/>
    </row>
    <row r="943">
      <c r="B943" s="10"/>
      <c r="G943" s="11"/>
    </row>
    <row r="944">
      <c r="B944" s="10"/>
      <c r="G944" s="11"/>
    </row>
    <row r="945">
      <c r="B945" s="10"/>
      <c r="G945" s="11"/>
    </row>
    <row r="946">
      <c r="B946" s="10"/>
      <c r="G946" s="11"/>
    </row>
    <row r="947">
      <c r="B947" s="10"/>
      <c r="G947" s="11"/>
    </row>
    <row r="948">
      <c r="B948" s="10"/>
      <c r="G948" s="11"/>
    </row>
    <row r="949">
      <c r="B949" s="10"/>
      <c r="G949" s="11"/>
    </row>
    <row r="950">
      <c r="B950" s="10"/>
      <c r="G950" s="11"/>
    </row>
    <row r="951">
      <c r="B951" s="10"/>
      <c r="G951" s="11"/>
    </row>
    <row r="952">
      <c r="B952" s="10"/>
      <c r="G952" s="11"/>
    </row>
    <row r="953">
      <c r="B953" s="10"/>
      <c r="G953" s="11"/>
    </row>
    <row r="954">
      <c r="B954" s="10"/>
      <c r="G954" s="11"/>
    </row>
    <row r="955">
      <c r="B955" s="10"/>
      <c r="G955" s="11"/>
    </row>
    <row r="956">
      <c r="B956" s="10"/>
      <c r="G956" s="11"/>
    </row>
    <row r="957">
      <c r="B957" s="10"/>
      <c r="G957" s="11"/>
    </row>
    <row r="958">
      <c r="B958" s="10"/>
      <c r="G958" s="11"/>
    </row>
    <row r="959">
      <c r="B959" s="10"/>
      <c r="G959" s="11"/>
    </row>
    <row r="960">
      <c r="B960" s="10"/>
      <c r="G960" s="11"/>
    </row>
    <row r="961">
      <c r="B961" s="10"/>
      <c r="G961" s="11"/>
    </row>
    <row r="962">
      <c r="B962" s="10"/>
      <c r="G962" s="11"/>
    </row>
    <row r="963">
      <c r="B963" s="10"/>
      <c r="G963" s="11"/>
    </row>
    <row r="964">
      <c r="B964" s="10"/>
      <c r="G964" s="11"/>
    </row>
    <row r="965">
      <c r="B965" s="10"/>
      <c r="G965" s="11"/>
    </row>
    <row r="966">
      <c r="B966" s="10"/>
      <c r="G966" s="11"/>
    </row>
    <row r="967">
      <c r="B967" s="10"/>
      <c r="G967" s="11"/>
    </row>
    <row r="968">
      <c r="B968" s="10"/>
      <c r="G968" s="11"/>
    </row>
    <row r="969">
      <c r="B969" s="10"/>
      <c r="G969" s="11"/>
    </row>
    <row r="970">
      <c r="B970" s="10"/>
      <c r="G970" s="11"/>
    </row>
    <row r="971">
      <c r="B971" s="10"/>
      <c r="G971" s="11"/>
    </row>
    <row r="972">
      <c r="B972" s="10"/>
      <c r="G972" s="11"/>
    </row>
    <row r="973">
      <c r="B973" s="10"/>
      <c r="G973" s="11"/>
    </row>
    <row r="974">
      <c r="B974" s="10"/>
      <c r="G974" s="11"/>
    </row>
    <row r="975">
      <c r="B975" s="10"/>
      <c r="G975" s="11"/>
    </row>
    <row r="976">
      <c r="B976" s="10"/>
      <c r="G976" s="11"/>
    </row>
    <row r="977">
      <c r="B977" s="10"/>
      <c r="G977" s="11"/>
    </row>
    <row r="978">
      <c r="B978" s="10"/>
      <c r="G978" s="11"/>
    </row>
    <row r="979">
      <c r="B979" s="10"/>
      <c r="G979" s="11"/>
    </row>
    <row r="980">
      <c r="B980" s="10"/>
      <c r="G980" s="11"/>
    </row>
    <row r="981">
      <c r="B981" s="10"/>
      <c r="G981" s="11"/>
    </row>
    <row r="982">
      <c r="B982" s="10"/>
      <c r="G982" s="11"/>
    </row>
    <row r="983">
      <c r="B983" s="10"/>
      <c r="G983" s="11"/>
    </row>
    <row r="984">
      <c r="B984" s="10"/>
      <c r="G984" s="11"/>
    </row>
    <row r="985">
      <c r="B985" s="10"/>
      <c r="G985" s="11"/>
    </row>
    <row r="986">
      <c r="B986" s="10"/>
      <c r="G986" s="11"/>
    </row>
    <row r="987">
      <c r="B987" s="10"/>
      <c r="G987" s="11"/>
    </row>
    <row r="988">
      <c r="B988" s="10"/>
      <c r="G988" s="11"/>
    </row>
    <row r="989">
      <c r="B989" s="10"/>
      <c r="G989" s="11"/>
    </row>
    <row r="990">
      <c r="B990" s="10"/>
      <c r="G990" s="11"/>
    </row>
    <row r="991">
      <c r="B991" s="10"/>
      <c r="G991" s="11"/>
    </row>
    <row r="992">
      <c r="B992" s="10"/>
      <c r="G992" s="11"/>
    </row>
    <row r="993">
      <c r="B993" s="10"/>
      <c r="G993" s="11"/>
    </row>
    <row r="994">
      <c r="B994" s="10"/>
      <c r="G994" s="11"/>
    </row>
    <row r="995">
      <c r="B995" s="10"/>
      <c r="G995" s="11"/>
    </row>
    <row r="996">
      <c r="B996" s="10"/>
      <c r="G996" s="11"/>
    </row>
    <row r="997">
      <c r="B997" s="10"/>
      <c r="G997" s="11"/>
    </row>
    <row r="998">
      <c r="B998" s="10"/>
      <c r="G998" s="11"/>
    </row>
    <row r="999">
      <c r="B999" s="10"/>
      <c r="G999" s="11"/>
    </row>
    <row r="1000">
      <c r="B1000" s="10"/>
      <c r="G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63"/>
    <col customWidth="1" min="4" max="4" width="15.0"/>
    <col customWidth="1" min="5" max="5" width="17.5"/>
  </cols>
  <sheetData>
    <row r="1"/>
    <row r="2"/>
    <row r="3"/>
    <row r="4"/>
    <row r="5"/>
    <row r="8"/>
    <row r="9"/>
    <row r="10"/>
    <row r="11"/>
    <row r="12"/>
    <row r="13"/>
    <row r="14"/>
    <row r="15"/>
    <row r="16"/>
    <row r="17"/>
    <row r="18"/>
    <row r="19"/>
    <row r="20"/>
    <row r="21"/>
    <row r="23">
      <c r="A23" s="1" t="s">
        <v>635</v>
      </c>
    </row>
  </sheetData>
  <mergeCells count="1">
    <mergeCell ref="A23:D23"/>
  </mergeCell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  <col customWidth="1" min="2" max="3" width="14.38"/>
    <col customWidth="1" min="4" max="4" width="16.88"/>
  </cols>
  <sheetData>
    <row r="1">
      <c r="A1" s="14" t="s">
        <v>636</v>
      </c>
    </row>
    <row r="4" ht="22.5" customHeight="1">
      <c r="A4" s="15" t="s">
        <v>637</v>
      </c>
    </row>
    <row r="5" ht="22.5" customHeight="1">
      <c r="A5" s="16">
        <f>SUM(Clean_Data!G2:G441)</f>
        <v>4864531.97</v>
      </c>
    </row>
    <row r="6" ht="24.0" customHeight="1">
      <c r="A6" s="17" t="s">
        <v>638</v>
      </c>
    </row>
    <row r="7" ht="24.75" customHeight="1">
      <c r="A7" s="18">
        <f>COUNTA(Clean_Data!C2:C441)</f>
        <v>440</v>
      </c>
    </row>
    <row r="8" ht="22.5" customHeight="1">
      <c r="A8" s="19" t="s">
        <v>639</v>
      </c>
    </row>
    <row r="9" ht="23.25" customHeight="1">
      <c r="A9" s="18">
        <f t="array" ref="A9">COUNTA(UNIQUE(Clean_Data!C2:C441))</f>
        <v>30</v>
      </c>
    </row>
    <row r="10" ht="23.25" customHeight="1">
      <c r="A10" s="20" t="s">
        <v>640</v>
      </c>
    </row>
    <row r="11" ht="23.25" customHeight="1">
      <c r="A11" s="18">
        <f>COUNTIF(Clean_Data!G2:G441,"Missing")</f>
        <v>7</v>
      </c>
    </row>
    <row r="33">
      <c r="A33" s="21"/>
    </row>
    <row r="45" ht="44.25" customHeight="1"/>
  </sheetData>
  <mergeCells count="2">
    <mergeCell ref="A1:K2"/>
    <mergeCell ref="A33:G45"/>
  </mergeCells>
  <drawing r:id="rId1"/>
</worksheet>
</file>